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Bloodwork" sheetId="8" state="visible" r:id="rId8"/>
    <sheet name="Monthly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  <font>
      <name val="Arial"/>
      <i val="1"/>
      <color rgb="00888888"/>
    </font>
    <font>
      <b val="1"/>
    </font>
    <font>
      <color rgb="000000FF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  <xf numFmtId="167" fontId="1" fillId="0" borderId="0" pivotButton="0" quotePrefix="0" xfId="0"/>
    <xf numFmtId="167" fontId="2" fillId="0" borderId="0" pivotButton="0" quotePrefix="0" xfId="0"/>
    <xf numFmtId="167" fontId="6" fillId="3" borderId="0" applyAlignment="1" pivotButton="0" quotePrefix="0" xfId="0">
      <alignment horizontal="center" wrapTex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0" borderId="1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MIN(16,MAX(1,ROUNDUP((TODAY()-DATE(2026,8,9)+1)/7,0)))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44" t="n">
        <v>1850</v>
      </c>
      <c r="C12" s="2" t="inlineStr">
        <is>
          <t>Revised 2026-08-22 (manual) — working range 1,800-1,900. Was 1,825 (formula-derived).</t>
        </is>
      </c>
    </row>
    <row r="13">
      <c r="A13" s="4" t="inlineStr">
        <is>
          <t>Protein target (g/day)</t>
        </is>
      </c>
      <c r="B13" s="44" t="n">
        <v>155</v>
      </c>
      <c r="C13" s="2" t="inlineStr">
        <is>
          <t>Revised 2026-08-22 (manual) — working range 150-160g. Was 187g (~1g/lb goal weight heuristic).</t>
        </is>
      </c>
    </row>
    <row r="14">
      <c r="A14" s="4" t="inlineStr">
        <is>
          <t>Fat target (g/day)</t>
        </is>
      </c>
      <c r="B14" s="44" t="n">
        <v>65</v>
      </c>
      <c r="C14" s="2" t="inlineStr">
        <is>
          <t>Revised 2026-08-22 (manual) — working range 55-65g. Was 57g (~28% of calories).</t>
        </is>
      </c>
    </row>
    <row r="15">
      <c r="A15" s="4" t="inlineStr">
        <is>
          <t>Carb target (g/day)</t>
        </is>
      </c>
      <c r="B15" s="44" t="n">
        <v>160</v>
      </c>
      <c r="C15" s="2" t="inlineStr">
        <is>
          <t>Revised 2026-08-22 (manual) — working range 145-175g. Was 141g (remainder-of-calories calc).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Working range 30-40g. Unchanged in the 2026-08-22 revision.</t>
        </is>
      </c>
    </row>
    <row r="17">
      <c r="A17" s="4" t="inlineStr">
        <is>
          <t>Added sugar ceiling (g/day)</t>
        </is>
      </c>
      <c r="B17" s="11" t="n">
        <v>25</v>
      </c>
      <c r="C17" s="2" t="inlineStr">
        <is>
          <t>Revised 2026-08-22: ceiling 20-25g, lower preferred. Was a flat &lt;25g ceiling.</t>
        </is>
      </c>
    </row>
    <row r="18">
      <c r="A18" t="inlineStr">
        <is>
          <t>Saturated fat ceiling (g/day)</t>
        </is>
      </c>
      <c r="B18" s="45" t="n">
        <v>12</v>
      </c>
      <c r="C18" t="inlineStr">
        <is>
          <t>New 2026-08-22 — lower is better within a balanced diet.</t>
        </is>
      </c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  <c r="N1" s="43" t="inlineStr">
        <is>
          <t>Waist (in)</t>
        </is>
      </c>
    </row>
    <row r="2">
      <c r="A2" s="29" t="n">
        <v>46248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46249</v>
      </c>
      <c r="B3" s="30" t="n">
        <v>201</v>
      </c>
      <c r="C3" s="18" t="n">
        <v>1565</v>
      </c>
      <c r="D3" s="18" t="n">
        <v>114</v>
      </c>
      <c r="E3" s="18" t="n">
        <v>100</v>
      </c>
      <c r="F3" s="18" t="n">
        <v>74</v>
      </c>
      <c r="G3" s="18" t="n">
        <v>21</v>
      </c>
      <c r="H3" s="18" t="n">
        <v>0</v>
      </c>
      <c r="I3" s="18" t="inlineStr">
        <is>
          <t>Egg scramble (salmon, broccoli, cottage cheese); banana + peanut butter; NY strip (fat trimmed), sweet potato, arugula/avocado salad. Fat over budget (3 stacked sources), carbs starch-heavy.</t>
        </is>
      </c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46250</v>
      </c>
      <c r="B4" s="30" t="n"/>
      <c r="C4" s="18" t="n">
        <v>845</v>
      </c>
      <c r="D4" s="18" t="n">
        <v>78</v>
      </c>
      <c r="E4" s="18" t="n">
        <v>23</v>
      </c>
      <c r="F4" s="18" t="n">
        <v>45</v>
      </c>
      <c r="G4" s="18" t="n">
        <v>2.5</v>
      </c>
      <c r="H4" s="18" t="n">
        <v>0</v>
      </c>
      <c r="I4" s="18" t="inlineStr">
        <is>
          <t>Latte; 2 hard-boiled eggs+smoked salmon+mango; whole branzino Mediterranean+broccoli. Travel day — light overall, protein/fiber well under target.</t>
        </is>
      </c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46251</v>
      </c>
      <c r="B5" s="30" t="n"/>
      <c r="C5" s="18" t="n">
        <v>1500</v>
      </c>
      <c r="D5" s="18" t="n">
        <v>125</v>
      </c>
      <c r="E5" s="18" t="n">
        <v>107</v>
      </c>
      <c r="F5" s="18" t="n">
        <v>69</v>
      </c>
      <c r="G5" s="18" t="n">
        <v>19</v>
      </c>
      <c r="H5" s="18" t="n">
        <v>0</v>
      </c>
      <c r="I5" s="18" t="inlineStr">
        <is>
          <t>Late lunch 3:30p: Cuban lentejas (60%), grilled chicken w/ cream sauce, maduros. Dinner: 6oz filet mignon medium rare, grilled veg+broccoli.</t>
        </is>
      </c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46252</v>
      </c>
      <c r="B6" s="30" t="n"/>
      <c r="C6" s="18" t="n">
        <v>1545</v>
      </c>
      <c r="D6" s="18" t="n">
        <v>107</v>
      </c>
      <c r="E6" s="18" t="n">
        <v>122</v>
      </c>
      <c r="F6" s="18" t="n">
        <v>68</v>
      </c>
      <c r="G6" s="18" t="n">
        <v>7</v>
      </c>
      <c r="H6" s="18" t="n">
        <v>0</v>
      </c>
      <c r="I6" s="18" t="inlineStr">
        <is>
          <t>Breakfast: 1 egg+2 egg whites (spinach, onion), pickled jalapenos, Oikos yogurt. Lunch ~2pm: grilled chicken chopped salad (blue cheese, walnuts, cranberries, vinaigrette). Dinner: Wendy's chicken sandwich no bun, 5 fries, medium sweet tea. Fat finished the day over target (68/57g, mostly cheese+nuts+fried chicken); protein came up short (107 of 187g) despite calories landing under budget (1545/1825) - a lean-but-low-protein day overall.</t>
        </is>
      </c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46253</v>
      </c>
      <c r="B7" s="30" t="n">
        <v>198</v>
      </c>
      <c r="C7" s="18" t="n">
        <v>1280</v>
      </c>
      <c r="D7" s="18" t="n">
        <v>101</v>
      </c>
      <c r="E7" s="18" t="n">
        <v>79</v>
      </c>
      <c r="F7" s="18" t="n">
        <v>67</v>
      </c>
      <c r="G7" s="18" t="n">
        <v>18</v>
      </c>
      <c r="H7" s="18" t="n"/>
      <c r="I7" s="18" t="inlineStr">
        <is>
          <t>Weighed in 198.0 lb at 7am, waist 40in. Breakfast 8:19am: 213kcal/30g protein/5g carb/8g fat/1g fiber. Snack (work): 168kcal/19g protein/22g carb/2g fat/3g fiber. Lunch 2:12pm: 346kcal/24g protein/21g carb/20g fat/5g fiber. Dinner (photo, salad w/ avocado+eggs): 430kcal/20g protein/20g carb/32g fat/9g fiber. Latte (1 shot espresso, 2% milk, ~12oz): approx 123kcal/8g protein/11g carb/5g fat. Day total: 1,280kcal/101g protein/79g carb/67g fat/18g fiber. Fat now 10g over target (67/57g). Protein at 101g, still well under 187g target if the day is done.</t>
        </is>
      </c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  <c r="N7" t="n">
        <v>40</v>
      </c>
    </row>
    <row r="8">
      <c r="A8" s="32" t="n">
        <v>46254</v>
      </c>
      <c r="B8" s="30" t="n"/>
      <c r="C8" s="18" t="n">
        <v>1456</v>
      </c>
      <c r="D8" s="18" t="n">
        <v>149</v>
      </c>
      <c r="E8" s="18" t="n">
        <v>104</v>
      </c>
      <c r="F8" s="18" t="n">
        <v>50</v>
      </c>
      <c r="G8" s="18" t="n">
        <v>29</v>
      </c>
      <c r="H8" s="18" t="n">
        <v>0</v>
      </c>
      <c r="I8" s="18" t="inlineStr">
        <is>
          <t>Breakfast: 150g egg whites, 2 whole eggs, 50g spinach, 50g cottage cheese, salsa, blueberries (~130g), espresso no sugar - approx 373kcal/37g protein/27g carb/13g fat/5g fiber. Lunch: 180g salmon, 150g sweet potato, 145g brussels sprouts - approx 558kcal/46g protein/42g carb/22g fat/11g fiber. Dinner: turkey taco salad bowl (175g ground turkey, arugula, black beans, pico, avocado, Greek yogurt) - approx 476kcal/64g protein/33g carb/11g fat/12g fiber. Snack: 15 pistachios (~9g) - approx 49kcal/2g protein/2g carb/4g fat/1g fiber. Day total: 1,456kcal/149g protein/104g carb/50g fat/29g fiber - best day logged so far, every macro within target.</t>
        </is>
      </c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46255</v>
      </c>
      <c r="B9" s="30" t="n"/>
      <c r="C9" s="18" t="n">
        <v>1266</v>
      </c>
      <c r="D9" s="18" t="n">
        <v>133</v>
      </c>
      <c r="E9" s="18" t="n">
        <v>109</v>
      </c>
      <c r="F9" s="18" t="n">
        <v>34</v>
      </c>
      <c r="G9" s="18" t="n">
        <v>26</v>
      </c>
      <c r="H9" s="18" t="n">
        <v>0</v>
      </c>
      <c r="I9" s="18" t="inlineStr">
        <is>
          <t>Breakfast: 30g spinach, 75g mushrooms, 150g egg whites, 1 whole egg, 50g low-fat cottage cheese, 75g berries, 10g chia seeds, latte (2 espresso shots, 2% milk) - approx 457kcal/44g protein/35g carb/15g fat/7g fiber. Lunch: 150g lean ground turkey, 100g cooked lentils, 100g sweet potato, 30g arugula, 53g cherry tomatoes, 40g Greek yogurt/lime crema - approx 511kcal/57g protein/46g carb/11g fat/12g fiber. Snack: 170g plain Greek yogurt (0-2%), 50g blackberries, 50g blueberries, 10g chia seeds, 5g honey, 1/2 scoop protein powder - approx 298kcal/32g protein/28g carb/8g fat/7g fiber. Day total: 1,266kcal/133g protein/109g carb/34g fat/26g fiber - excellent pace, fourth strong day running.</t>
        </is>
      </c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46256</v>
      </c>
      <c r="B10" s="30" t="n"/>
      <c r="C10" s="18" t="n">
        <v>1162</v>
      </c>
      <c r="D10" s="18" t="n">
        <v>135</v>
      </c>
      <c r="E10" s="18" t="n">
        <v>83</v>
      </c>
      <c r="F10" s="18" t="n">
        <v>34</v>
      </c>
      <c r="G10" s="18" t="n">
        <v>24</v>
      </c>
      <c r="H10" s="18" t="n">
        <v>0</v>
      </c>
      <c r="I10" s="18" t="inlineStr">
        <is>
          <t>Breakfast: 75g black beans, 120g egg whites, 2 whole eggs, 100g pico de gallo, 40g 0% Greek yogurt, cilantro - approx 351kcal/38g protein/25g carb/11g fat/8g fiber. Lunch: turkey burger lettuce wrap - approx 374kcal/58g protein/11g carb/10g fat/3g fiber. Snack 1: 200g Greek yogurt, 75g blueberries, 75g blackberries, 50g banana, 12g chia seeds, 1/2 scoop protein powder - approx 356kcal/36g protein/43g carb/6g fat/11g fiber. Snack 2: 25 pistachios (~14g) - approx 81kcal/3g protein/4g carb/7g fat/2g fiber. Day total: 1,162kcal/135g protein/83g carb/34g fat/24g fiber.</t>
        </is>
      </c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46257</v>
      </c>
      <c r="B11" s="30" t="n"/>
      <c r="C11" s="18" t="n">
        <v>1510</v>
      </c>
      <c r="D11" s="18" t="n">
        <v>164</v>
      </c>
      <c r="E11" s="18" t="n">
        <v>113</v>
      </c>
      <c r="F11" s="18" t="n">
        <v>49</v>
      </c>
      <c r="G11" s="18" t="n">
        <v>37</v>
      </c>
      <c r="H11" s="18" t="n">
        <v>0</v>
      </c>
      <c r="I11" s="18" t="inlineStr">
        <is>
          <t>Breakfast: 150g egg whites, 1 whole egg, 60g black beans (drained/rinsed), 30g spinach, 75g pico de gallo, 20-30g onion diced, 10-15g jalapeno, cilantro, cooking spray - approx 245kcal/28g protein/19g carb/6g fat/6g fiber. Snack 1: 15g walnuts (~7 halves), 15g pistachios (~24-25 kernels) - approx 182kcal/5g protein/6g carb/17g fat/3g fiber. Lunch: turkey-lentil marinara skillet - 150g cooked lean turkey, 100g cooked lentils, 100-120g marinara, 75g fresh tomatoes, 75-100g mushrooms, 50g spinach, 20g onion, garlic, tomato paste, 15g mozzarella, 8-10g Parmesan - approx 531kcal/67g protein/41g carb/12g fat/13g fiber. Dinner: 170-180g cod (lemon, garlic, pepper, paprika, oregano), 100g sauteed spinach, 100g mushrooms, ~100g tomato+onion, 75g cooked lentils, 1 tsp olive oil, lemon juice/herbs/red pepper flakes - approx 392kcal/54g protein/29g carb/8g fat/11g fiber. Snack 2: protein carrot cake bar - 160kcal/10g protein/18g carb/6g fat/4g fiber. Day total: 1,510kcal/164g protein/113g carb/49g fat/37g fiber - protein and fiber both cleared their floors (164 of 155g, 37 of 35g). First complete day of new tracking week (Sun 8/23-Sat 8/29); prior week (8/16-8/22) closed at 9,054kcal/828g protein total.</t>
        </is>
      </c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46258</v>
      </c>
      <c r="B12" s="30" t="n">
        <v>197</v>
      </c>
      <c r="C12" s="18" t="n">
        <v>1396</v>
      </c>
      <c r="D12" s="18" t="n">
        <v>160</v>
      </c>
      <c r="E12" s="18" t="n">
        <v>104</v>
      </c>
      <c r="F12" s="18" t="n">
        <v>34</v>
      </c>
      <c r="G12" s="18" t="n">
        <v>29</v>
      </c>
      <c r="H12" s="18" t="n"/>
      <c r="I12" s="18" t="inlineStr">
        <is>
          <t>Weighed in 197.0 lb, waist 39in (down 1in from 40in on Aug 19). Breakfast: Kodiak protein pancakes - 40g Kodiak protein pancake mix, 60-70g egg whites mixed into batter, water, cinnamon, vanilla extract, 50g blueberries/blackberries, 1 tsp pure maple syrup - approx 219kcal/22g protein/32g carb/2g fat/5g fiber. Plus 1 whole egg, 100g egg whites on the side - approx 124kcal/17g protein/1g carb/5g fat. Meal total approx 343kcal/39g protein/33g carb/7g fat/5g fiber. Down 4.0 lb from the Aug 15 start (201.0), running ahead of the ~1lb/week pace. Day 2 of tracking week (Sun 8/23-Sat 8/29). Lunch: 100g cod, 100g lentils, 100g Brussels sprouts - approx 315kcal/34g protein/28g carb/3g fat/9g fiber (Roberto's own estimate, 300-330kcal/32-35g protein/25-30g carb/8-10g fiber/very little fat). Day total so far: 658kcal/73g protein/61g carb/10g fat/14g fiber. Snack: 100g Siggis plain yogurt, 12g protein powder, 6g chia seeds, 80g mixed blueberries/blackberries - approx 176kcal/21g protein/17g carb/3g fat/5g fiber. Day total so far: 834kcal/94g protein/78g carb/13g fat/19g fiber. Dinner: 160g chicken, 70g black beans (drained/rinsed), 50g avocado, 80g cottage cheese, 60g arugula, 60g cherry tomatoes, 60g pico de gallo, 1 tsp olive oil - approx 562kcal/66g protein/26g carb/21g fat/10g fiber. Day total: 1,396kcal/160g protein/104g carb/34g fat/29g fiber - protein cleared the 155g floor, fiber 6g shy of 35g. Strong second day of the new tracking week.</t>
        </is>
      </c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  <c r="N12" t="n">
        <v>39</v>
      </c>
    </row>
    <row r="13">
      <c r="A13" s="32" t="n">
        <v>46259</v>
      </c>
      <c r="B13" s="30" t="n"/>
      <c r="C13" s="18" t="n">
        <v>1341</v>
      </c>
      <c r="D13" s="18" t="n">
        <v>142</v>
      </c>
      <c r="E13" s="18" t="n">
        <v>86</v>
      </c>
      <c r="F13" s="18" t="n">
        <v>48</v>
      </c>
      <c r="G13" s="18" t="n">
        <v>22</v>
      </c>
      <c r="H13" s="18" t="n"/>
      <c r="I13" s="18" t="inlineStr">
        <is>
          <t>Breakfast: 1 whole egg, 150g egg whites, 75g cottage cheese, 100g mushrooms, 30-40g onion, 15g spinach, 50-60g pico de gallo - approx 268kcal/35g protein/13g carb/7g fat/2g fiber. Day 3 of tracking week (Sun 8/23-Sat 8/29). Ring synced this morning: sleep 8h36m (first real capture since Aug 15), HR 83, HRV 108ms (rebounded from 40ms Sunday), BP 127/89 (down from 131/92 Sunday), SpO2 98%. Dinner: turkey lettuce wrap - 170g lean turkey, cheese slice, peppers/onion, avocado (40g), yogurt-based sauce (80-100g), plus 100g raw sweet potato fries on the side - Roberto's own estimate 600-675kcal/55-60g protein/35-40g carb/25-30g fat, logged at midpoint approx 638kcal/58g protein/38g carb/28g fat/~6g fiber (fiber estimated). Day total so far: 906kcal/93g protein/51g carb/35g fat/8g fiber. Lunch: ground beef/spinach/marinara/lentil bowl - 130g lean ground beef (90/10), 100g spinach, 125g marinara, 120g cooked lentils - approx 435kcal/49g protein/35g carb/13g fat/14g fiber. Day total: 1,341kcal/142g protein/86g carb/48g fat/22g fiber - fiber caught up nicely from the light morning. Third strong full day of the new tracking week.</t>
        </is>
      </c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46260</v>
      </c>
      <c r="B14" s="30" t="n"/>
      <c r="C14" s="18" t="n"/>
      <c r="D14" s="18" t="n"/>
      <c r="E14" s="18" t="n"/>
      <c r="F14" s="18" t="n"/>
      <c r="G14" s="18" t="n"/>
      <c r="H14" s="18" t="n"/>
      <c r="I14" s="18" t="n"/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46261</v>
      </c>
      <c r="B15" s="30" t="n"/>
      <c r="C15" s="18" t="n"/>
      <c r="D15" s="18" t="n"/>
      <c r="E15" s="18" t="n"/>
      <c r="F15" s="18" t="n"/>
      <c r="G15" s="18" t="n"/>
      <c r="H15" s="18" t="n"/>
      <c r="I15" s="18" t="n"/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46262</v>
      </c>
      <c r="B16" s="30" t="n"/>
      <c r="C16" s="18" t="n"/>
      <c r="D16" s="18" t="n"/>
      <c r="E16" s="18" t="n"/>
      <c r="F16" s="18" t="n"/>
      <c r="G16" s="18" t="n"/>
      <c r="H16" s="18" t="n"/>
      <c r="I16" s="18" t="n"/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46263</v>
      </c>
      <c r="B17" s="30" t="n"/>
      <c r="C17" s="18" t="n"/>
      <c r="D17" s="18" t="n"/>
      <c r="E17" s="18" t="n"/>
      <c r="F17" s="18" t="n"/>
      <c r="G17" s="18" t="n"/>
      <c r="H17" s="18" t="n"/>
      <c r="I17" s="18" t="n"/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46264</v>
      </c>
      <c r="B18" s="30" t="n"/>
      <c r="C18" s="18" t="n"/>
      <c r="D18" s="18" t="n"/>
      <c r="E18" s="18" t="n"/>
      <c r="F18" s="18" t="n"/>
      <c r="G18" s="18" t="n"/>
      <c r="H18" s="18" t="n"/>
      <c r="I18" s="18" t="n"/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46265</v>
      </c>
      <c r="B19" s="30" t="n"/>
      <c r="C19" s="18" t="n"/>
      <c r="D19" s="18" t="n"/>
      <c r="E19" s="18" t="n"/>
      <c r="F19" s="18" t="n"/>
      <c r="G19" s="18" t="n"/>
      <c r="H19" s="18" t="n"/>
      <c r="I19" s="18" t="n"/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46266</v>
      </c>
      <c r="B20" s="30" t="n"/>
      <c r="C20" s="18" t="n"/>
      <c r="D20" s="18" t="n"/>
      <c r="E20" s="18" t="n"/>
      <c r="F20" s="18" t="n"/>
      <c r="G20" s="18" t="n"/>
      <c r="H20" s="18" t="n"/>
      <c r="I20" s="18" t="n"/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46267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46268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46269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46270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46271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46272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46273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46274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46275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46276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46277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46278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46279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46280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46281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46282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46283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46284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46285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46286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46287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46288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46289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46290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46291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46292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46293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46294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46295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46296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46297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46298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46299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46300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46301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46302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46303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46304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46305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46306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46307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46308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46309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46310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46311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46312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46313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46314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46315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46316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46317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46318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46319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46320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46321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46322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46323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46324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46325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46326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46327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46328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46329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46330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46331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46332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46333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46334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46335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46336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46337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46338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46339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46340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46341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46342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46343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46344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46345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46346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46347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46348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46349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46350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46351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46352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46353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46354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46355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46356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46357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46358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46359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46360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46243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46250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46257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46264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46271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46278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46285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46292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46299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46306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46313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46320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46327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46334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46341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46348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26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  <col width="12" customWidth="1" min="13" max="13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</row>
    <row r="5">
      <c r="A5" s="29" t="n">
        <v>46249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</row>
    <row r="6">
      <c r="A6" s="32" t="n">
        <v>46250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</row>
    <row r="7">
      <c r="A7" s="32" t="n">
        <v>46251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</row>
    <row r="8">
      <c r="A8" s="32" t="n">
        <v>46252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</row>
    <row r="9">
      <c r="A9" s="32" t="n">
        <v>46253</v>
      </c>
      <c r="B9" s="18" t="n"/>
      <c r="C9" s="18" t="n"/>
      <c r="D9" s="18" t="n"/>
      <c r="E9" s="18" t="n"/>
      <c r="F9" s="18" t="n"/>
      <c r="G9" s="18" t="n"/>
      <c r="H9" s="18" t="n">
        <v>4792</v>
      </c>
      <c r="I9" s="18" t="n">
        <v>14.3</v>
      </c>
      <c r="J9" t="inlineStr">
        <is>
          <t>Tonal end-of-workout summary, 7:20pm. Volume 4,792 lbs, Duration 14:16, Movement Target 100%, Calories Burned 101, Work 9.8 kJ, Time Under Tension 6:06, Coaching Cues 0. Strong volume day - highest of the Last-8-Days view (Fri 4,960 lbs, Sat 4,438 lbs, today 4,792 lbs).</t>
        </is>
      </c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</row>
    <row r="10">
      <c r="A10" s="32" t="n">
        <v>46254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</row>
    <row r="11">
      <c r="A11" s="32" t="n">
        <v>46255</v>
      </c>
      <c r="B11" s="18" t="n"/>
      <c r="C11" s="18" t="n"/>
      <c r="D11" s="18" t="n"/>
      <c r="E11" s="18" t="n"/>
      <c r="F11" s="18" t="n"/>
      <c r="G11" s="18" t="n"/>
      <c r="H11" s="18" t="n">
        <v>4078</v>
      </c>
      <c r="I11" s="18" t="n">
        <v>14.47</v>
      </c>
      <c r="J11" t="inlineStr">
        <is>
          <t>Tonal end-of-workout summary, 7:28pm. Volume 4,078 lbs, Duration 14:28, Movement Target 100%, Calories Burned 67, Work 9.9 kJ, Time Under Tension 6:47, Coaching Cues 0. Lighter volume than Wed (4,792 lbs) but still 100% movement target, clean form throughout.</t>
        </is>
      </c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</row>
    <row r="12">
      <c r="A12" s="32" t="n">
        <v>46256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</row>
    <row r="13">
      <c r="A13" s="32" t="n">
        <v>46257</v>
      </c>
      <c r="B13" s="18" t="n"/>
      <c r="C13" s="18" t="n">
        <v>98</v>
      </c>
      <c r="D13" s="18" t="n">
        <v>40</v>
      </c>
      <c r="E13" s="18" t="n">
        <v>97</v>
      </c>
      <c r="F13" s="18" t="n">
        <v>131</v>
      </c>
      <c r="G13" s="18" t="n">
        <v>92</v>
      </c>
      <c r="H13" s="18" t="n">
        <v>4717</v>
      </c>
      <c r="I13" s="18" t="n">
        <v>16.65</v>
      </c>
      <c r="J13" t="inlineStr">
        <is>
          <t>Tonal end-of-workout summary (logged via text, photo upload issue). Volume 4,717 lbs, Duration 16:39, Movement Target 100%, Calories Burned 112, Work 9.3 kJ, Time Under Tension 6:00, 6 movements. Heaviest volume of the week so far vs Wed 4,792 / Fri 4,078. | Ring sync 8:47am: HR 98bpm (up from 84), HRV 40ms (down sharply from 128), SpO2 97%, BP 131/92 (up from 129/89 watch, diastolic now Stage 2), sleep not captured (0h00, sync error icon), ring proprietary "pressure" score 47 (first time logged, no baseline yet). Two BP watches in a row on the same side plus HRV drop worth mentioning to Dr. Aldrich, not a diagnosis.</t>
        </is>
      </c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</row>
    <row r="14">
      <c r="A14" s="32" t="n">
        <v>46258</v>
      </c>
      <c r="B14" s="18" t="n"/>
      <c r="C14" s="18" t="n"/>
      <c r="D14" s="18" t="n"/>
      <c r="E14" s="18" t="n"/>
      <c r="F14" s="18" t="n"/>
      <c r="G14" s="18" t="n"/>
      <c r="H14" s="18" t="n">
        <v>4629</v>
      </c>
      <c r="I14" s="18" t="n">
        <v>17.25</v>
      </c>
      <c r="J14" t="inlineStr">
        <is>
          <t>Tonal end-of-workout summary. Volume 4,629 lbs, Duration 17:15, Movement Target 100%, Calories Burned 70, Work 7.9 kJ, Time Under Tension 5:49, Coaching Cues 1. Slightly lighter volume than yesterday (4,717 lbs) but still 100% movement target.</t>
        </is>
      </c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</row>
    <row r="15">
      <c r="A15" s="32" t="n">
        <v>46259</v>
      </c>
      <c r="B15" s="18" t="n">
        <v>5.18</v>
      </c>
      <c r="C15" s="18" t="n">
        <v>91</v>
      </c>
      <c r="D15" s="18" t="n">
        <v>40</v>
      </c>
      <c r="E15" s="18" t="n">
        <v>98</v>
      </c>
      <c r="F15" s="18" t="n">
        <v>127</v>
      </c>
      <c r="G15" s="18" t="n">
        <v>90</v>
      </c>
      <c r="H15" s="18" t="n"/>
      <c r="I15" s="18" t="n"/>
      <c r="J15" t="inlineStr">
        <is>
          <t>Ring sync 9:48am. Sleep 8h36m (first real capture since Aug 15 — prior syncs missed it). HR 83bpm, HRV 108ms (up sharply from 40ms yesterday, back near the 128ms Aug 15 baseline - confirms yesterday's drop was likely noise, not a real trend). BP 127/89 (down from 131/92 yesterday, close to the 129/89 Aug 15 reading). SpO2 98%. Ring pressure score 53 (up from 47 yesterday). | Second sync 11:16am same day: Sleep now reads 5h11m (down from the 8h36m at 9:48am - real discrepancy between the two syncs, not reconciled, logging the later/most-recent read as current). HR 91 (up from 83). HRV back down to 40ms (matches the Aug 23 low exactly) - two low HRV readings now, not just one, so the "probably noise" read from this morning is less certain. BP 127/90 (essentially flat vs 127/89). SpO2 98%. Pressure score 47 (down from 53, matches Aug 23 exactly).</t>
        </is>
      </c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</row>
    <row r="16">
      <c r="A16" s="32" t="n">
        <v>46260</v>
      </c>
      <c r="B16" s="18" t="n"/>
      <c r="C16" s="18" t="n"/>
      <c r="D16" s="18" t="n"/>
      <c r="E16" s="18" t="n"/>
      <c r="F16" s="18" t="n"/>
      <c r="G16" s="18" t="n"/>
      <c r="H16" s="18" t="n"/>
      <c r="I16" s="18" t="n"/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</row>
    <row r="17">
      <c r="A17" s="32" t="n">
        <v>46261</v>
      </c>
      <c r="B17" s="18" t="n"/>
      <c r="C17" s="18" t="n"/>
      <c r="D17" s="18" t="n"/>
      <c r="E17" s="18" t="n"/>
      <c r="F17" s="18" t="n"/>
      <c r="G17" s="18" t="n"/>
      <c r="H17" s="18" t="n"/>
      <c r="I17" s="18" t="n"/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</row>
    <row r="18">
      <c r="A18" s="32" t="n">
        <v>46262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</row>
    <row r="19">
      <c r="A19" s="32" t="n">
        <v>46263</v>
      </c>
      <c r="B19" s="18" t="n"/>
      <c r="C19" s="18" t="n"/>
      <c r="D19" s="18" t="n"/>
      <c r="E19" s="18" t="n"/>
      <c r="F19" s="18" t="n"/>
      <c r="G19" s="18" t="n"/>
      <c r="H19" s="18" t="n"/>
      <c r="I19" s="18" t="n"/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</row>
    <row r="20">
      <c r="A20" s="32" t="n">
        <v>46264</v>
      </c>
      <c r="B20" s="18" t="n"/>
      <c r="C20" s="18" t="n"/>
      <c r="D20" s="18" t="n"/>
      <c r="E20" s="18" t="n"/>
      <c r="F20" s="18" t="n"/>
      <c r="G20" s="18" t="n"/>
      <c r="H20" s="18" t="n"/>
      <c r="I20" s="18" t="n"/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</row>
    <row r="21">
      <c r="A21" s="32" t="n">
        <v>46265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</row>
    <row r="22">
      <c r="A22" s="32" t="n">
        <v>46266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</row>
    <row r="23">
      <c r="A23" s="32" t="n">
        <v>46267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</row>
    <row r="24">
      <c r="A24" s="32" t="n">
        <v>46268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</row>
    <row r="25">
      <c r="A25" s="32" t="n">
        <v>46269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</row>
    <row r="26">
      <c r="A26" s="32" t="n">
        <v>46270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</row>
    <row r="27">
      <c r="A27" s="32" t="n">
        <v>46271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</row>
    <row r="28">
      <c r="A28" s="32" t="n">
        <v>46272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</row>
    <row r="29">
      <c r="A29" s="32" t="n">
        <v>46273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</row>
    <row r="30">
      <c r="A30" s="32" t="n">
        <v>46274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</row>
    <row r="31">
      <c r="A31" s="32" t="n">
        <v>46275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</row>
    <row r="32">
      <c r="A32" s="32" t="n">
        <v>46276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</row>
    <row r="33">
      <c r="A33" s="32" t="n">
        <v>46277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</row>
    <row r="34">
      <c r="A34" s="32" t="n">
        <v>46278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</row>
    <row r="35">
      <c r="A35" s="32" t="n">
        <v>46279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46280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46281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9" t="inlineStr">
        <is>
          <t>Field Status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40" t="inlineStr">
        <is>
          <t>Supplementary fields only — core nutrition/weight logging is never questioned. A field silent 10+ days flips to "REVIEW", which means: ask Roberto whether to keep watching for it or retire it from the dashboard.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46284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41" t="inlineStr">
        <is>
          <t>Field</t>
        </is>
      </c>
      <c r="B41" s="15" t="inlineStr">
        <is>
          <t>Last Logged</t>
        </is>
      </c>
      <c r="C41" s="15" t="inlineStr">
        <is>
          <t>Days Idle</t>
        </is>
      </c>
      <c r="D41" s="15" t="inlineStr">
        <is>
          <t>Status</t>
        </is>
      </c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inlineStr">
        <is>
          <t>Recovery Reading (ring)</t>
        </is>
      </c>
      <c r="B42" s="37">
        <f>IFERROR(_xlfn.MAXIFS($A$5:$A$34,$C$5:$C$34,"&lt;&gt;"),"")</f>
        <v/>
      </c>
      <c r="C42" s="38">
        <f>IF(B42="","",TODAY()-B42)</f>
        <v/>
      </c>
      <c r="D42" s="3">
        <f>IF(B42="","no data yet",IF(C42&gt;=10,"REVIEW — ask Roberto","Active"))</f>
        <v/>
      </c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inlineStr">
        <is>
          <t>Steps</t>
        </is>
      </c>
      <c r="B43" s="37" t="n"/>
      <c r="C43" s="38" t="n"/>
      <c r="D43" s="3" t="inlineStr">
        <is>
          <t>Retired 2026-08-21 (never logged in ~a week on the dashboard — dropped per Roberto's review, no data lost)</t>
        </is>
      </c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inlineStr">
        <is>
          <t>Tonal Training</t>
        </is>
      </c>
      <c r="B44" s="37">
        <f>IFERROR(_xlfn.MAXIFS($A$5:$A$34,$H$5:$H$34,"&lt;&gt;"),"")</f>
        <v/>
      </c>
      <c r="C44" s="38">
        <f>IF(B44="","",TODAY()-B44)</f>
        <v/>
      </c>
      <c r="D44" s="3">
        <f>IF(B44="","no data yet",IF(C44&gt;=10,"REVIEW — ask Roberto","Active"))</f>
        <v/>
      </c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inlineStr">
        <is>
          <t>Bloodwork</t>
        </is>
      </c>
      <c r="B45" s="37">
        <f>IFERROR(IF(MAX(Bloodwork!$A$5:$A$16)=0,"",MAX(Bloodwork!$A$5:$A$16)),"")</f>
        <v/>
      </c>
      <c r="C45" s="38">
        <f>IF(B45="","",TODAY()-B45)</f>
        <v/>
      </c>
      <c r="D45" s="3">
        <f>IF(B45="","no data yet",IF(C45&gt;=10,"REVIEW — ask Roberto","Active"))</f>
        <v/>
      </c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46290</v>
      </c>
      <c r="B46" s="18" t="n"/>
      <c r="C46" s="43" t="inlineStr">
        <is>
          <t>Field</t>
        </is>
      </c>
      <c r="D46" s="43" t="inlineStr">
        <is>
          <t>Last Logged</t>
        </is>
      </c>
      <c r="E46" s="43" t="inlineStr">
        <is>
          <t>Days Idle</t>
        </is>
      </c>
      <c r="F46" s="43" t="inlineStr">
        <is>
          <t>Status</t>
        </is>
      </c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46291</v>
      </c>
      <c r="B47" s="18" t="n"/>
      <c r="C47" s="18" t="inlineStr">
        <is>
          <t>Waist</t>
        </is>
      </c>
      <c r="D47" s="18">
        <f>IFERROR(_xlfn.MAXIFS('Daily Log'!$A$2:$A$200,'Daily Log'!$N$2:$N$200,"&lt;&gt;"),"")</f>
        <v/>
      </c>
      <c r="E47" s="18">
        <f>IF(D47="","",TODAY()-D47)</f>
        <v/>
      </c>
      <c r="F47" s="18">
        <f>IF(D47="","no data yet",IF(E47&gt;=10,"REVIEW — ask Roberto","Active"))</f>
        <v/>
      </c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46292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46293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46294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46295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46296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46297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46298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46299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46300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46301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46302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46303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46304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46305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46306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46307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46308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46309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46310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46311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46312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46313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46314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46315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46316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46317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46318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46319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46320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46321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46322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46323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46324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46325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46326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46327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46328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46329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46330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46331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46332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46333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46334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46335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46336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46337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46338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46339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46340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46341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46342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46343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46344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46345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46346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46347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46348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46349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46350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46351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46352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46353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46354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46355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46356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46357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46358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46359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46360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46361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6" customWidth="1" min="14" max="14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  <c r="M4" s="15" t="inlineStr">
        <is>
          <t>William Li</t>
        </is>
      </c>
      <c r="N4" s="15" t="inlineStr">
        <is>
          <t>Jessie Inchauspe</t>
        </is>
      </c>
    </row>
    <row r="5">
      <c r="A5" s="29" t="n">
        <v>46249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  <c r="M5" s="36" t="n">
        <v>1</v>
      </c>
      <c r="N5" s="18" t="n"/>
    </row>
    <row r="6">
      <c r="A6" s="29" t="n">
        <v>46250</v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1</v>
      </c>
      <c r="G6" s="18" t="n">
        <v>0</v>
      </c>
      <c r="H6" s="18" t="n">
        <v>0</v>
      </c>
      <c r="I6" s="18" t="n">
        <v>1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</row>
    <row r="7">
      <c r="A7" s="29" t="n">
        <v>46251</v>
      </c>
      <c r="B7" s="18" t="n">
        <v>0</v>
      </c>
      <c r="C7" s="18" t="n">
        <v>1</v>
      </c>
      <c r="D7" s="18" t="n">
        <v>0</v>
      </c>
      <c r="E7" s="18" t="n">
        <v>0</v>
      </c>
      <c r="F7" s="18" t="n">
        <v>1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</row>
    <row r="8">
      <c r="A8" s="29" t="n">
        <v>46252</v>
      </c>
      <c r="B8" s="18" t="n"/>
      <c r="C8" s="18" t="n">
        <v>1</v>
      </c>
      <c r="D8" s="18" t="n"/>
      <c r="E8" s="18" t="n">
        <v>0</v>
      </c>
      <c r="F8" s="18" t="n">
        <v>0</v>
      </c>
      <c r="G8" s="18" t="n">
        <v>0</v>
      </c>
      <c r="H8" s="18" t="n"/>
      <c r="I8" s="18" t="n">
        <v>1</v>
      </c>
      <c r="J8" s="18" t="n">
        <v>0</v>
      </c>
      <c r="K8" s="18" t="n"/>
      <c r="L8" s="18" t="n"/>
      <c r="M8" s="18" t="n"/>
      <c r="N8" s="18" t="n"/>
    </row>
    <row r="9">
      <c r="A9" s="29" t="n">
        <v>46253</v>
      </c>
      <c r="B9" s="18" t="n"/>
      <c r="C9" s="18" t="n">
        <v>1</v>
      </c>
      <c r="D9" s="18" t="n"/>
      <c r="E9" s="18" t="n">
        <v>0</v>
      </c>
      <c r="F9" s="18" t="n">
        <v>0</v>
      </c>
      <c r="G9" s="18" t="n">
        <v>0</v>
      </c>
      <c r="H9" s="18" t="n"/>
      <c r="I9" s="18" t="n">
        <v>1</v>
      </c>
      <c r="J9" s="18" t="n">
        <v>0</v>
      </c>
      <c r="K9" s="18" t="n"/>
      <c r="L9" s="18" t="n"/>
      <c r="M9" s="18" t="n"/>
      <c r="N9" s="18" t="n"/>
    </row>
    <row r="10">
      <c r="A10" s="29" t="n">
        <v>46254</v>
      </c>
      <c r="B10" s="18" t="n"/>
      <c r="C10" s="18" t="n">
        <v>0</v>
      </c>
      <c r="D10" s="18" t="n"/>
      <c r="E10" s="18" t="n">
        <v>0</v>
      </c>
      <c r="F10" s="18" t="n">
        <v>0</v>
      </c>
      <c r="G10" s="18" t="n">
        <v>0</v>
      </c>
      <c r="H10" s="18" t="n"/>
      <c r="I10" s="18" t="n">
        <v>0</v>
      </c>
      <c r="J10" s="18" t="n">
        <v>0</v>
      </c>
      <c r="K10" s="18" t="n"/>
      <c r="L10" s="18" t="n"/>
      <c r="M10" s="18" t="n"/>
      <c r="N10" s="18" t="n"/>
    </row>
    <row r="11">
      <c r="A11" s="29" t="n">
        <v>46255</v>
      </c>
      <c r="B11" s="18" t="n"/>
      <c r="C11" s="18" t="n">
        <v>0</v>
      </c>
      <c r="D11" s="18" t="n"/>
      <c r="E11" s="18" t="n">
        <v>0</v>
      </c>
      <c r="F11" s="18" t="n">
        <v>0</v>
      </c>
      <c r="G11" s="18" t="n">
        <v>0</v>
      </c>
      <c r="H11" s="18" t="n"/>
      <c r="I11" s="18" t="n">
        <v>1</v>
      </c>
      <c r="J11" s="18" t="n">
        <v>0</v>
      </c>
      <c r="K11" s="18" t="n"/>
      <c r="L11" s="18" t="n"/>
      <c r="M11" s="18" t="n"/>
      <c r="N11" s="18" t="n"/>
    </row>
    <row r="12">
      <c r="A12" s="29" t="n">
        <v>46256</v>
      </c>
      <c r="B12" s="18" t="n"/>
      <c r="C12" s="18" t="n">
        <v>0</v>
      </c>
      <c r="D12" s="18" t="n"/>
      <c r="E12" s="18" t="n">
        <v>0</v>
      </c>
      <c r="F12" s="18" t="n">
        <v>1</v>
      </c>
      <c r="G12" s="18" t="n">
        <v>0</v>
      </c>
      <c r="H12" s="18" t="n"/>
      <c r="I12" s="18" t="n">
        <v>0</v>
      </c>
      <c r="J12" s="18" t="n">
        <v>1</v>
      </c>
      <c r="K12" s="18" t="n"/>
      <c r="L12" s="18" t="n"/>
      <c r="M12" s="18" t="n"/>
      <c r="N12" s="18" t="n"/>
    </row>
    <row r="13">
      <c r="A13" s="29" t="n">
        <v>46257</v>
      </c>
      <c r="B13" s="18" t="n"/>
      <c r="C13" s="18" t="n">
        <v>0</v>
      </c>
      <c r="D13" s="18" t="n"/>
      <c r="E13" s="18" t="n">
        <v>0</v>
      </c>
      <c r="F13" s="18" t="n">
        <v>1</v>
      </c>
      <c r="G13" s="18" t="n">
        <v>0</v>
      </c>
      <c r="H13" s="18" t="n"/>
      <c r="I13" s="18" t="n">
        <v>0</v>
      </c>
      <c r="J13" s="18" t="n">
        <v>1</v>
      </c>
      <c r="K13" s="18" t="n"/>
      <c r="L13" s="18" t="n"/>
      <c r="M13" s="18" t="n"/>
      <c r="N13" s="18" t="n"/>
    </row>
    <row r="14">
      <c r="A14" s="29" t="n">
        <v>46258</v>
      </c>
      <c r="B14" s="18" t="n"/>
      <c r="C14" s="18" t="n">
        <v>0</v>
      </c>
      <c r="D14" s="18" t="n"/>
      <c r="E14" s="18" t="n">
        <v>0</v>
      </c>
      <c r="F14" s="18" t="n">
        <v>0</v>
      </c>
      <c r="G14" s="18" t="n">
        <v>0</v>
      </c>
      <c r="H14" s="18" t="n"/>
      <c r="I14" s="18" t="n">
        <v>0</v>
      </c>
      <c r="J14" s="18" t="n">
        <v>0</v>
      </c>
      <c r="K14" s="18" t="n"/>
      <c r="L14" s="18" t="n"/>
      <c r="M14" s="18" t="n"/>
      <c r="N14" s="18" t="n"/>
    </row>
    <row r="15">
      <c r="A15" s="29" t="n">
        <v>46259</v>
      </c>
      <c r="B15" s="18" t="n"/>
      <c r="C15" s="18" t="n">
        <v>0</v>
      </c>
      <c r="D15" s="18" t="n"/>
      <c r="E15" s="18" t="n">
        <v>0</v>
      </c>
      <c r="F15" s="18" t="n">
        <v>0</v>
      </c>
      <c r="G15" s="18" t="n">
        <v>0</v>
      </c>
      <c r="H15" s="18" t="n"/>
      <c r="I15" s="18" t="n">
        <v>0</v>
      </c>
      <c r="J15" s="18" t="n">
        <v>0</v>
      </c>
      <c r="K15" s="18" t="n"/>
      <c r="L15" s="18" t="n"/>
      <c r="M15" s="18" t="n"/>
      <c r="N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</row>
    <row r="17">
      <c r="A17" s="29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42" t="inlineStr">
        <is>
          <t>Retired 2026-08-18 (history preserved)</t>
        </is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42" t="inlineStr">
        <is>
          <t>Retired 2026-08-18 (history preserved)</t>
        </is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42" t="inlineStr">
        <is>
          <t>Retired 2026-08-18 (history preserved)</t>
        </is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42" t="inlineStr">
        <is>
          <t>Retired 2026-08-18 (history preserved)</t>
        </is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42" t="inlineStr">
        <is>
          <t>Retired 2026-08-18 (history preserved)</t>
        </is>
      </c>
    </row>
    <row r="53">
      <c r="A53" s="3" t="inlineStr">
        <is>
          <t>William Li</t>
        </is>
      </c>
      <c r="B53" s="37">
        <f>IFERROR(_xlfn.MAXIFS($A$5:$A$34,M$5:M$34,1),"")</f>
        <v/>
      </c>
      <c r="C53" s="38">
        <f>IF(B53="",IF($D$39&gt;=1,TODAY()-INDEX($A$5:$A$34,1),""),TODAY()-B53)</f>
        <v/>
      </c>
      <c r="D53" s="42" t="inlineStr">
        <is>
          <t>Retired 2026-08-18 (history preserved)</t>
        </is>
      </c>
    </row>
    <row r="54">
      <c r="A54" s="3" t="inlineStr">
        <is>
          <t>Jessie Inchauspe</t>
        </is>
      </c>
      <c r="B54" s="37">
        <f>IFERROR(_xlfn.MAXIFS($A$5:$A$34,N$5:N$34,1),"")</f>
        <v/>
      </c>
      <c r="C54" s="38">
        <f>IF(B54="",IF($D$39&gt;=1,TODAY()-INDEX($A$5:$A$34,1),""),TODAY()-B54)</f>
        <v/>
      </c>
      <c r="D54" s="42" t="inlineStr">
        <is>
          <t>Retired 2026-08-18 (history preserved)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8" customWidth="1" min="8" max="8"/>
    <col width="15" customWidth="1" min="9" max="9"/>
    <col width="11" customWidth="1" min="10" max="10"/>
    <col width="12" customWidth="1" min="11" max="11"/>
    <col width="30" customWidth="1" min="12" max="12"/>
  </cols>
  <sheetData>
    <row r="1">
      <c r="A1" s="1" t="inlineStr">
        <is>
          <t>Bloodwork</t>
        </is>
      </c>
    </row>
    <row r="2">
      <c r="A2" s="2" t="inlineStr">
        <is>
          <t>One row per panel drawn. Blank until real results land — nothing pre-filled or estimated. First panel expected ~2026-08-26.</t>
        </is>
      </c>
    </row>
    <row r="4">
      <c r="A4" s="15" t="inlineStr">
        <is>
          <t>Date Drawn</t>
        </is>
      </c>
      <c r="B4" s="15" t="inlineStr">
        <is>
          <t>Total Chol</t>
        </is>
      </c>
      <c r="C4" s="15" t="inlineStr">
        <is>
          <t>LDL</t>
        </is>
      </c>
      <c r="D4" s="15" t="inlineStr">
        <is>
          <t>HDL</t>
        </is>
      </c>
      <c r="E4" s="15" t="inlineStr">
        <is>
          <t>Triglycerides</t>
        </is>
      </c>
      <c r="F4" s="15" t="inlineStr">
        <is>
          <t>ApoB</t>
        </is>
      </c>
      <c r="G4" s="15" t="inlineStr">
        <is>
          <t>hs-CRP</t>
        </is>
      </c>
      <c r="H4" s="15" t="inlineStr">
        <is>
          <t>A1C</t>
        </is>
      </c>
      <c r="I4" s="15" t="inlineStr">
        <is>
          <t>Fasting Glucose</t>
        </is>
      </c>
      <c r="J4" s="15" t="inlineStr">
        <is>
          <t>Vitamin D</t>
        </is>
      </c>
      <c r="K4" s="15" t="inlineStr">
        <is>
          <t>Testosterone</t>
        </is>
      </c>
      <c r="L4" s="15" t="inlineStr">
        <is>
          <t>Notes</t>
        </is>
      </c>
    </row>
    <row r="5">
      <c r="A5" s="29" t="inlineStr">
        <is>
          <t>2026-08-13</t>
        </is>
      </c>
      <c r="B5" s="18" t="inlineStr">
        <is>
          <t>N/A</t>
        </is>
      </c>
      <c r="C5" s="18" t="inlineStr">
        <is>
          <t>N/A</t>
        </is>
      </c>
      <c r="D5" s="18" t="inlineStr">
        <is>
          <t>N/A</t>
        </is>
      </c>
      <c r="E5" s="18" t="inlineStr">
        <is>
          <t>N/A</t>
        </is>
      </c>
      <c r="F5" s="18" t="n">
        <v>130</v>
      </c>
      <c r="G5" s="18" t="n">
        <v>0.84</v>
      </c>
      <c r="H5" s="18" t="n">
        <v>5.6</v>
      </c>
      <c r="I5" s="18" t="n">
        <v>104</v>
      </c>
      <c r="J5" s="18" t="n">
        <v>30.8</v>
      </c>
      <c r="K5" s="18" t="n">
        <v>631</v>
      </c>
      <c r="L5" s="18" t="inlineStr">
        <is>
          <t>FINAL LabCorp panel (collected 8/13, finalized 8/19). No lipid panel (Chol/LDL/HDL/Trig) drawn this round. ApoB 130 mg/dL - flagged HIGH by lab (desirable &lt;90, high 100-130, very high &gt;130) - this is the headline finding: ApoB is the primary cardiovascular risk marker in the Attia-influenced coaching style this dashboard uses, and 130 sits at the top of the High band. Cardiac hs-CRP 0.84 mg/L - Low risk (&lt;1.00), good news, low inflammation. IGF-1 167 ng/mL - normal (ref 64-240). Glucose 104 mg/dL flagged High, fasting status not recorded - not conclusive alone. A1C 5.6% at top of normal. Vitamin D 30.8, testosterone 631 (free 10.2) - both normal. TSH/T4/kidney/liver/CBC all in range. Flag ApoB + glucose to Dr. Aldrich - not medical advice.</t>
        </is>
      </c>
    </row>
    <row r="6">
      <c r="A6" s="29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</row>
    <row r="7">
      <c r="A7" s="29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2026-08-26T01:05:59Z</dcterms:modified>
</cp:coreProperties>
</file>