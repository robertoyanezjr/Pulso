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381</v>
      </c>
      <c r="D7" s="18" t="n">
        <v>49</v>
      </c>
      <c r="E7" s="18" t="n">
        <v>27</v>
      </c>
      <c r="F7" s="18" t="n">
        <v>10</v>
      </c>
      <c r="G7" s="18" t="n">
        <v>4</v>
      </c>
      <c r="H7" s="18" t="n"/>
      <c r="I7" s="18" t="inlineStr">
        <is>
          <t>Weighed in 198.0 lb at 7am, waist 40in (first reading). Breakfast 8:19am: 50g cottage cheese, 50g spinach, 50g whole egg, 150g egg whites - 213kcal/30g protein/5g carb/8g fat/1g fiber. Snack (prepped for work): Siggi's plain 0% skyr ~157g, blueberries ~57g, chia seeds ~5g, honey ~7g (scale reading illegible in photo; used his stated ~150g yogurt/50g blueberries plus a 14g overage split evenly between the two) - approx 168kcal/19g protein/22g carb/2g fat/3g fiber, ~6g added sugar from honey. Running total (breakfast+snack): 381kcal/49g protein/27g carb/10g fat/4g fiber. Lunch prepped (not yet eaten): 50g canned refried beans + 150g chile verde (pork, potatoes, green chile) - approx 346kcal/24g protein/21g carb/20g fat/5g fiber, staged for later, not included in totals until confirmed eaten.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/>
      <c r="D8" s="18" t="n"/>
      <c r="E8" s="18" t="n"/>
      <c r="F8" s="18" t="n"/>
      <c r="G8" s="18" t="n"/>
      <c r="H8" s="18" t="n"/>
      <c r="I8" s="18" t="n"/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/>
      <c r="D9" s="18" t="n"/>
      <c r="E9" s="18" t="n"/>
      <c r="F9" s="18" t="n"/>
      <c r="G9" s="18" t="n"/>
      <c r="H9" s="18" t="n"/>
      <c r="I9" s="18" t="n"/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  <c r="M4" s="15" t="inlineStr">
        <is>
          <t>Steps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  <c r="M5" s="18" t="n"/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  <c r="M6" s="18" t="n"/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  <c r="M7" s="18" t="n"/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  <c r="M8" s="18" t="n"/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/>
      <c r="I9" s="18" t="n"/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  <c r="M9" s="18" t="n"/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  <c r="M10" s="18" t="n"/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  <c r="M11" s="18" t="n"/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  <c r="M12" s="18" t="n"/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  <c r="M13" s="18" t="n"/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  <c r="M14" s="18" t="n"/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  <c r="M15" s="18" t="n"/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  <c r="M16" s="18" t="n"/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  <c r="M17" s="18" t="n"/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  <c r="M18" s="18" t="n"/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  <c r="M19" s="18" t="n"/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  <c r="M20" s="18" t="n"/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  <c r="M21" s="18" t="n"/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  <c r="M22" s="18" t="n"/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  <c r="M23" s="18" t="n"/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  <c r="M24" s="18" t="n"/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  <c r="M25" s="18" t="n"/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  <c r="M26" s="18" t="n"/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  <c r="M27" s="18" t="n"/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  <c r="M28" s="18" t="n"/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  <c r="M29" s="18" t="n"/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  <c r="M30" s="18" t="n"/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  <c r="M31" s="18" t="n"/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  <c r="M32" s="18" t="n"/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  <c r="M33" s="18" t="n"/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  <c r="M34" s="18" t="n"/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>
        <f>IFERROR(_xlfn.MAXIFS($A$5:$A$34,$M$5:$M$34,"&lt;&gt;"),"")</f>
        <v/>
      </c>
      <c r="C43" s="38">
        <f>IF(B43="","",TODAY()-B43)</f>
        <v/>
      </c>
      <c r="D43" s="3">
        <f>IF(B43="","no data yet",IF(C43&gt;=10,"REVIEW — ask Roberto","Active"))</f>
        <v/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inlineStr">
        <is>
          <t>Pending</t>
        </is>
      </c>
      <c r="G5" s="18" t="inlineStr">
        <is>
          <t>Pending</t>
        </is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Preliminary LabCorp panel (collected 8/13, reported 8/15, still preliminary as of 8/18 — ApoB, cardiac hs-CRP, IGF-1 marked "Will Follow"). No lipid panel (Chol/LDL/HDL/Trig) drawn this round. Glucose 104 mg/dL flagged High by lab, but fasting status not recorded on the requisition — not conclusive on its own. A1C 5.6% sits at the top of normal (ref 4.8-5.6). Free testosterone (direct) 10.2 pg/mL alongside total 631 ng/dL. TSH/T4/kidney/liver/CBC all in range. Flag glucose + full panel to Dr. Aldrich once ApoB/hs-CRP post.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2026-08-19T13:19:47Z</dcterms:modified>
</cp:coreProperties>
</file>