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44" t="n">
        <v>1850</v>
      </c>
      <c r="C12" s="2" t="inlineStr">
        <is>
          <t>Revised 2026-08-22 (manual) — working range 1,800-1,900. Was 1,825 (formula-derived).</t>
        </is>
      </c>
    </row>
    <row r="13">
      <c r="A13" s="4" t="inlineStr">
        <is>
          <t>Protein target (g/day)</t>
        </is>
      </c>
      <c r="B13" s="44" t="n">
        <v>155</v>
      </c>
      <c r="C13" s="2" t="inlineStr">
        <is>
          <t>Revised 2026-08-22 (manual) — working range 150-160g. Was 187g (~1g/lb goal weight heuristic).</t>
        </is>
      </c>
    </row>
    <row r="14">
      <c r="A14" s="4" t="inlineStr">
        <is>
          <t>Fat target (g/day)</t>
        </is>
      </c>
      <c r="B14" s="44" t="n">
        <v>65</v>
      </c>
      <c r="C14" s="2" t="inlineStr">
        <is>
          <t>Revised 2026-08-22 (manual) — working range 55-65g. Was 57g (~28% of calories).</t>
        </is>
      </c>
    </row>
    <row r="15">
      <c r="A15" s="4" t="inlineStr">
        <is>
          <t>Carb target (g/day)</t>
        </is>
      </c>
      <c r="B15" s="44" t="n">
        <v>160</v>
      </c>
      <c r="C15" s="2" t="inlineStr">
        <is>
          <t>Revised 2026-08-22 (manual) — working range 145-175g. Was 141g (remainder-of-calories calc).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Working range 30-40g. Unchanged in the 2026-08-22 revision.</t>
        </is>
      </c>
    </row>
    <row r="17">
      <c r="A17" s="4" t="inlineStr">
        <is>
          <t>Added sugar ceiling (g/day)</t>
        </is>
      </c>
      <c r="B17" s="11" t="n">
        <v>25</v>
      </c>
      <c r="C17" s="2" t="inlineStr">
        <is>
          <t>Revised 2026-08-22: ceiling 20-25g, lower preferred. Was a flat &lt;25g ceiling.</t>
        </is>
      </c>
    </row>
    <row r="18">
      <c r="A18" t="inlineStr">
        <is>
          <t>Saturated fat ceiling (g/day)</t>
        </is>
      </c>
      <c r="B18" s="45" t="n">
        <v>12</v>
      </c>
      <c r="C18" t="inlineStr">
        <is>
          <t>New 2026-08-22 — lower is better within a balanced diet.</t>
        </is>
      </c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1266</v>
      </c>
      <c r="D9" s="18" t="n">
        <v>133</v>
      </c>
      <c r="E9" s="18" t="n">
        <v>109</v>
      </c>
      <c r="F9" s="18" t="n">
        <v>34</v>
      </c>
      <c r="G9" s="18" t="n">
        <v>26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fiber. Snack: 170g plain Greek yogurt (0-2%), 50g blackberries, 50g blueberries, 10g chia seeds, 5g honey, 1/2 scoop protein powder - approx 298kcal/32g protein/28g carb/8g fat/7g fiber. Day total: 1,266kcal/133g protein/109g carb/34g fat/26g fiber - excellent pace, fourth strong day running.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>
        <v>1162</v>
      </c>
      <c r="D10" s="18" t="n">
        <v>135</v>
      </c>
      <c r="E10" s="18" t="n">
        <v>83</v>
      </c>
      <c r="F10" s="18" t="n">
        <v>34</v>
      </c>
      <c r="G10" s="18" t="n">
        <v>24</v>
      </c>
      <c r="H10" s="18" t="n">
        <v>0</v>
      </c>
      <c r="I10" s="18" t="inlineStr">
        <is>
          <t>Breakfast: 75g black beans, 120g egg whites, 2 whole eggs, 100g pico de gallo, 40g 0% Greek yogurt, cilantro - approx 351kcal/38g protein/25g carb/11g fat/8g fiber. Lunch: turkey burger lettuce wrap - approx 374kcal/58g protein/11g carb/10g fat/3g fiber. Snack 1: 200g Greek yogurt, 75g blueberries, 75g blackberries, 50g banana, 12g chia seeds, 1/2 scoop protein powder - approx 356kcal/36g protein/43g carb/6g fat/11g fiber. Snack 2: 25 pistachios (~14g) - approx 81kcal/3g protein/4g carb/7g fat/2g fiber. Day total: 1,162kcal/135g protein/83g carb/34g fat/24g fiber.</t>
        </is>
      </c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>
        <v>1510</v>
      </c>
      <c r="D11" s="18" t="n">
        <v>164</v>
      </c>
      <c r="E11" s="18" t="n">
        <v>113</v>
      </c>
      <c r="F11" s="18" t="n">
        <v>49</v>
      </c>
      <c r="G11" s="18" t="n">
        <v>37</v>
      </c>
      <c r="H11" s="18" t="n">
        <v>0</v>
      </c>
      <c r="I11" s="18" t="inlineStr">
        <is>
          <t>Breakfast: 150g egg whites, 1 whole egg, 60g black beans (drained/rinsed), 30g spinach, 75g pico de gallo, 20-30g onion diced, 10-15g jalapeno, cilantro, cooking spray - approx 245kcal/28g protein/19g carb/6g fat/6g fiber. Snack 1: 15g walnuts (~7 halves), 15g pistachios (~24-25 kernels) - approx 182kcal/5g protein/6g carb/17g fat/3g fiber. Lunch: turkey-lentil marinara skillet - 150g cooked lean turkey, 100g cooked lentils, 100-120g marinara, 75g fresh tomatoes, 75-100g mushrooms, 50g spinach, 20g onion, garlic, tomato paste, 15g mozzarella, 8-10g Parmesan - approx 531kcal/67g protein/41g carb/12g fat/13g fiber. Dinner: 170-180g cod (lemon, garlic, pepper, paprika, oregano), 100g sauteed spinach, 100g mushrooms, ~100g tomato+onion, 75g cooked lentils, 1 tsp olive oil, lemon juice/herbs/red pepper flakes - approx 392kcal/54g protein/29g carb/8g fat/11g fiber. Snack 2: protein carrot cake bar - 160kcal/10g protein/18g carb/6g fat/4g fiber. Day total: 1,510kcal/164g protein/113g carb/49g fat/37g fiber - protein and fiber both cleared their floors (164 of 155g, 37 of 35g). First complete day of new tracking week (Sun 8/23-Sat 8/29); prior week (8/16-8/22) closed at 9,054kcal/828g protein total.</t>
        </is>
      </c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>
        <v>197</v>
      </c>
      <c r="C12" s="18" t="n">
        <v>1396</v>
      </c>
      <c r="D12" s="18" t="n">
        <v>160</v>
      </c>
      <c r="E12" s="18" t="n">
        <v>104</v>
      </c>
      <c r="F12" s="18" t="n">
        <v>34</v>
      </c>
      <c r="G12" s="18" t="n">
        <v>29</v>
      </c>
      <c r="H12" s="18" t="n"/>
      <c r="I12" s="18" t="inlineStr">
        <is>
          <t>Weighed in 197.0 lb, waist 39in (down 1in from 40in on Aug 19). Breakfast: Kodiak protein pancakes - 40g Kodiak protein pancake mix, 60-70g egg whites mixed into batter, water, cinnamon, vanilla extract, 50g blueberries/blackberries, 1 tsp pure maple syrup - approx 219kcal/22g protein/32g carb/2g fat/5g fiber. Plus 1 whole egg, 100g egg whites on the side - approx 124kcal/17g protein/1g carb/5g fat. Meal total approx 343kcal/39g protein/33g carb/7g fat/5g fiber. Down 4.0 lb from the Aug 15 start (201.0), running ahead of the ~1lb/week pace. Day 2 of tracking week (Sun 8/23-Sat 8/29). Lunch: 100g cod, 100g lentils, 100g Brussels sprouts - approx 315kcal/34g protein/28g carb/3g fat/9g fiber (Roberto's own estimate, 300-330kcal/32-35g protein/25-30g carb/8-10g fiber/very little fat). Day total so far: 658kcal/73g protein/61g carb/10g fat/14g fiber. Snack: 100g Siggis plain yogurt, 12g protein powder, 6g chia seeds, 80g mixed blueberries/blackberries - approx 176kcal/21g protein/17g carb/3g fat/5g fiber. Day total so far: 834kcal/94g protein/78g carb/13g fat/19g fiber. Dinner: 160g chicken, 70g black beans (drained/rinsed), 50g avocado, 80g cottage cheese, 60g arugula, 60g cherry tomatoes, 60g pico de gallo, 1 tsp olive oil - approx 562kcal/66g protein/26g carb/21g fat/10g fiber. Day total: 1,396kcal/160g protein/104g carb/34g fat/29g fiber - protein cleared the 155g floor, fiber 6g shy of 35g. Strong second day of the new tracking week.</t>
        </is>
      </c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  <c r="N12" t="n">
        <v>39</v>
      </c>
    </row>
    <row r="13">
      <c r="A13" s="32" t="n">
        <v>46259</v>
      </c>
      <c r="B13" s="30" t="n"/>
      <c r="C13" s="18" t="n">
        <v>1341</v>
      </c>
      <c r="D13" s="18" t="n">
        <v>142</v>
      </c>
      <c r="E13" s="18" t="n">
        <v>86</v>
      </c>
      <c r="F13" s="18" t="n">
        <v>48</v>
      </c>
      <c r="G13" s="18" t="n">
        <v>22</v>
      </c>
      <c r="H13" s="18" t="n"/>
      <c r="I13" s="18" t="inlineStr">
        <is>
          <t>Breakfast: 1 whole egg, 150g egg whites, 75g cottage cheese, 100g mushrooms, 30-40g onion, 15g spinach, 50-60g pico de gallo - approx 268kcal/35g protein/13g carb/7g fat/2g fiber. Day 3 of tracking week (Sun 8/23-Sat 8/29). Ring synced this morning: sleep 8h36m (first real capture since Aug 15), HR 83, HRV 108ms (rebounded from 40ms Sunday), BP 127/89 (down from 131/92 Sunday), SpO2 98%. Dinner: turkey lettuce wrap - 170g lean turkey, cheese slice, peppers/onion, avocado (40g), yogurt-based sauce (80-100g), plus 100g raw sweet potato fries on the side - Roberto's own estimate 600-675kcal/55-60g protein/35-40g carb/25-30g fat, logged at midpoint approx 638kcal/58g protein/38g carb/28g fat/~6g fiber (fiber estimated). Day total so far: 906kcal/93g protein/51g carb/35g fat/8g fiber. Lunch: ground beef/spinach/marinara/lentil bowl - 130g lean ground beef (90/10), 100g spinach, 125g marinara, 120g cooked lentils - approx 435kcal/49g protein/35g carb/13g fat/14g fiber. Day total: 1,341kcal/142g protein/86g carb/48g fat/22g fiber - fiber caught up nicely from the light morning. Third strong full day of the new tracking week.</t>
        </is>
      </c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>
        <v>196</v>
      </c>
      <c r="C14" s="18" t="n">
        <v>1370</v>
      </c>
      <c r="D14" s="18" t="n">
        <v>146</v>
      </c>
      <c r="E14" s="18" t="n">
        <v>110</v>
      </c>
      <c r="F14" s="18" t="n">
        <v>40</v>
      </c>
      <c r="G14" s="18" t="n">
        <v>30</v>
      </c>
      <c r="H14" s="18" t="n"/>
      <c r="I14" s="18" t="inlineStr">
        <is>
          <t>Weighed in 196.0 lb (down 5.0 lb from Aug 15 start, down 1.0 lb from Aug 24). Third consecutive drop (198.0 -&gt; 197.0 -&gt; 196.0), pace still running well ahead of the ~1lb/week target. Breakfast: 185g egg whites, 1 whole egg, 53g Kodiak protein pancake mix, 75g berries, 10g pure maple syrup, double espresso (black) - approx 419kcal/41g protein/45g carb/8g fat/7g fiber. Day 4 of tracking week (Sun 8/23-Sat 8/29). Lunch: 140g grilled chicken breast, 100g black beans (drained), 60g arugula, 100g cherry tomatoes, 40g avocado, cilantro, lime juice, black pepper/cumin/chili powder - approx 424kcal/52g protein/27g carb/12g fat/11g fiber. Day total so far: 843kcal/93g protein/72g carb/20g fat/18g fiber. Dinner: ahi tuna poke bowl (no rice) - 160g ahi tuna, 80-100g arugula, 100g cucumber, 75g edamame, 30-40g seaweed salad, 40g avocado, 50g carrots, 60g mango, cilantro/scallions/jalapeno, 5g sesame seeds, lime - approx 527kcal/53g protein/38g carb/20g fat/12g fiber. Day total: 1,370kcal/146g protein/110g carb/40g fat/30g fiber - protein 9g shy of the 155g floor, fiber 5g shy of 35g. Fourth strong full day of the new tracking week.</t>
        </is>
      </c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>
        <v>1370</v>
      </c>
      <c r="D15" s="18" t="n">
        <v>116</v>
      </c>
      <c r="E15" s="18" t="n">
        <v>92</v>
      </c>
      <c r="F15" s="18" t="n">
        <v>61</v>
      </c>
      <c r="G15" s="18" t="n">
        <v>15</v>
      </c>
      <c r="H15" s="18" t="n"/>
      <c r="I15" s="18" t="inlineStr">
        <is>
          <t>Breakfast: 150g egg whites, 1 whole egg, 50g Nancys low-fat cottage cheese, 40g pico de gallo, 40g blueberries, 40g 2% milk, double espresso (2 shots) - approx 248kcal/29g protein/14g carb/7g fat/1g fiber (fat/fiber estimated, rest per Roberto). Day 5 of tracking week (Sun 8/23-Sat 8/29). Lunch: ahi tuna poke bowl with brown rice - 125g ahi tuna, 100g brown rice, 50g edamame, 40g mango, 25g seaweed salad, 30g avocado, 60g cucumber, 30g carrots, 3g sesame seeds, light soy/ponzu - approx 460kcal/41g protein/49g carb/12g fat/9g fiber. Day total so far: 708kcal/70g protein/63g carb/19g fat/10g fiber. Dinner: skirt steak tacos, no rice/beans/avocado/cheese/crema - 2 corn tortillas, ~140g cooked skirt steak, grilled green onions, pico de gallo, lime/cilantro/jalapeno - Robertos own estimate 450-500kcal/38-43g protein, logged at midpoint approx 475kcal/41g protein/24g carb/24g fat/3g fiber (carb/fat/fiber estimated). Snack: 20g walnuts, 20g pistachios weighed in shells (~9-11g edible) - approx 187kcal/5g protein/5g carb/18g fat/2g fiber. Day total: 1,370kcal/116g protein/92g carb/61g fat/15g fiber - fat closed at 94% of the 65g budget, tightest fat margin of the week. Fifth day of the new tracking week.</t>
        </is>
      </c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>
        <v>1496</v>
      </c>
      <c r="D16" s="18" t="n">
        <v>126</v>
      </c>
      <c r="E16" s="18" t="n">
        <v>86</v>
      </c>
      <c r="F16" s="18" t="n">
        <v>76</v>
      </c>
      <c r="G16" s="18" t="n">
        <v>15</v>
      </c>
      <c r="H16" s="18" t="n"/>
      <c r="I16" s="18" t="inlineStr">
        <is>
          <t>Breakfast: carne asada egg scramble - ~0.5 whole egg, 80-90g egg whites, 45-50g carne asada, 35-40g spinach - approx 208kcal/27g protein/3g carb/11g fat/1g fiber (carb/fat/fiber estimated, rest per Roberto). Day 6 of tracking week (Sun 8/23-Sat 8/29). Lunch (restaurant, 2 courses): Appetizer - 35g octopus, 30g prosciutto, 35g soft white cheese/cream, 90g watermelon, 15g avocado, 25g small vegetables/garnish, 20g sauce/dressing - approx 331kcal/24g protein/14g carb/21g fat/2g fiber. Main - 210g skin-on fish fillet, 80g zucchini, 60g broccolini/asparagus/greens, 40g green herb sauce - approx 594kcal/47g protein/7g carb/40g fat/3g fiber. Lunch total approx 925kcal/71g protein/21g carb/61g fat/5g fiber. Evening snack: 100g plain Greek yogurt, 100g mixed berries, 80g banana, 1/2 scoop protein powder (~15g), 1/2 tsp chia seeds - Robertos own estimate 250kcal/24-27g protein/32-35g carb/3-4g fat, logged at midpoint approx 250kcal/26g protein/33g carb/4g fat/6g fiber (fiber estimated). Day total: 1,383kcal/124g protein/57g carb/76g fat/12g fiber - fat closed 11g OVER the 65g budget, driven by the rich restaurant lunch (skin-on fish, cheese, prosciutto, oil-based sauces). Sixth day of the new tracking week. Additional snack: 189g fresh mango - approx 113kcal/2g protein/29g carb/0g fat/3g fiber (per Robertos own figures). Day total: 1,496kcal/126g protein/86g carb/76g fat/15g fiber - fat still 11g over the 65g budget.</t>
        </is>
      </c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>
        <v>1839</v>
      </c>
      <c r="D17" s="18" t="n">
        <v>136</v>
      </c>
      <c r="E17" s="18" t="n">
        <v>180</v>
      </c>
      <c r="F17" s="18" t="n">
        <v>63.5</v>
      </c>
      <c r="G17" s="18" t="n">
        <v>22</v>
      </c>
      <c r="H17" s="18" t="n"/>
      <c r="I17" s="18" t="inlineStr">
        <is>
          <t>Breakfast: Kodiak Power Cakes - 40g Kodiak protein pancake mix, 1 whole egg, 100g egg whites, 75g mixed berries, water, hot sauce (negligible) - approx 304kcal/32g protein/33g carb/7g fat/6g fiber. Day 7 (final day) of tracking week (Sun 8/23-Sat 8/29). Lunch: Wendy's Spicy Chicken Sandwich Combo — spicy chicken sandwich (breaded chicken breast, lettuce, mayo, bun), medium natural-cut fries, ketchup — approx 945kcal/33g protein/112g carb/38g fat/7g fiber (Wendy's published nutrition, fry size estimated from photo). Day total so far: 1,249kcal/65g protein/145g carb/45g fat/13g fiber. Dinner: Mediterranean baked cod with tomatoes and capers, roasted broccoli, roasted zucchini/yellow squash (Roberto's own estimate: 380kcal/43g protein/20g carb/13.5g fat/8g fiber). Day total: 1,629kcal/108g protein/165g carb/58.5g fat/21g fiber - carbs closed 5g over the 160g budget, fat landed right at the 90% watch line, protein 47g shy of the 155g floor. Final day of the tracking week (Sun 8/23-Sat 8/29) now complete - full week: 10,112kcal/962g protein across all 7 days. Snack (corrected — this was originally mis-logged as a new day/Sunday by mistake; it's Saturday evening, ~8:39pm): 100g plain yogurt, 50g mixed berries, 1 scoop protein powder - approx 210kcal/28g protein/15g carb/5g fat/1g fiber. Day total (corrected): 1,839kcal/136g protein/180g carb/63.5g fat/22g fiber - carbs now 20g over the 160g budget, fat closed right at 98% of budget, protein closed at 88% of the 155g floor, calories closed at 99% of budget. Full week (Sun 8/23-Sat 8/29): 10,322kcal/990g protein across all 7 days.</t>
        </is>
      </c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>
        <v>4078</v>
      </c>
      <c r="I11" s="18" t="n">
        <v>14.47</v>
      </c>
      <c r="J11" t="inlineStr">
        <is>
          <t>Tonal end-of-workout summary, 7:28pm. Volume 4,078 lbs, Duration 14:28, Movement Target 100%, Calories Burned 67, Work 9.9 kJ, Time Under Tension 6:47, Coaching Cues 0. Lighter volume than Wed (4,792 lbs) but still 100% movement target, clean form throughout.</t>
        </is>
      </c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46257</v>
      </c>
      <c r="B13" s="18" t="n"/>
      <c r="C13" s="18" t="n">
        <v>98</v>
      </c>
      <c r="D13" s="18" t="n">
        <v>40</v>
      </c>
      <c r="E13" s="18" t="n">
        <v>97</v>
      </c>
      <c r="F13" s="18" t="n">
        <v>131</v>
      </c>
      <c r="G13" s="18" t="n">
        <v>92</v>
      </c>
      <c r="H13" s="18" t="n">
        <v>4717</v>
      </c>
      <c r="I13" s="18" t="n">
        <v>16.65</v>
      </c>
      <c r="J13" t="inlineStr">
        <is>
          <t>Tonal end-of-workout summary (logged via text, photo upload issue). Volume 4,717 lbs, Duration 16:39, Movement Target 100%, Calories Burned 112, Work 9.3 kJ, Time Under Tension 6:00, 6 movements. Heaviest volume of the week so far vs Wed 4,792 / Fri 4,078. | Ring sync 8:47am: HR 98bpm (up from 84), HRV 40ms (down sharply from 128), SpO2 97%, BP 131/92 (up from 129/89 watch, diastolic now Stage 2), sleep not captured (0h00, sync error icon), ring proprietary "pressure" score 47 (first time logged, no baseline yet). Two BP watches in a row on the same side plus HRV drop worth mentioning to Dr. Aldrich, not a diagnosis.</t>
        </is>
      </c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>
        <v>4629</v>
      </c>
      <c r="I14" s="18" t="n">
        <v>17.25</v>
      </c>
      <c r="J14" t="inlineStr">
        <is>
          <t>Tonal end-of-workout summary. Volume 4,629 lbs, Duration 17:15, Movement Target 100%, Calories Burned 70, Work 7.9 kJ, Time Under Tension 5:49, Coaching Cues 1. Slightly lighter volume than yesterday (4,717 lbs) but still 100% movement target.</t>
        </is>
      </c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46259</v>
      </c>
      <c r="B15" s="18" t="n">
        <v>5.18</v>
      </c>
      <c r="C15" s="18" t="n">
        <v>91</v>
      </c>
      <c r="D15" s="18" t="n">
        <v>40</v>
      </c>
      <c r="E15" s="18" t="n">
        <v>98</v>
      </c>
      <c r="F15" s="18" t="n">
        <v>127</v>
      </c>
      <c r="G15" s="18" t="n">
        <v>90</v>
      </c>
      <c r="H15" s="18" t="n"/>
      <c r="I15" s="18" t="n"/>
      <c r="J15" t="inlineStr">
        <is>
          <t>Ring sync 9:48am. Sleep 8h36m (first real capture since Aug 15 — prior syncs missed it). HR 83bpm, HRV 108ms (up sharply from 40ms yesterday, back near the 128ms Aug 15 baseline - confirms yesterday's drop was likely noise, not a real trend). BP 127/89 (down from 131/92 yesterday, close to the 129/89 Aug 15 reading). SpO2 98%. Ring pressure score 53 (up from 47 yesterday). | Second sync 11:16am same day: Sleep now reads 5h11m (down from the 8h36m at 9:48am - real discrepancy between the two syncs, not reconciled, logging the later/most-recent read as current). HR 91 (up from 83). HRV back down to 40ms (matches the Aug 23 low exactly) - two low HRV readings now, not just one, so the "probably noise" read from this morning is less certain. BP 127/90 (essentially flat vs 127/89). SpO2 98%. Pressure score 47 (down from 53, matches Aug 23 exactly).</t>
        </is>
      </c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46260</v>
      </c>
      <c r="B16" s="18" t="n">
        <v>5.18</v>
      </c>
      <c r="C16" s="18" t="n">
        <v>66</v>
      </c>
      <c r="D16" s="18" t="n">
        <v>43</v>
      </c>
      <c r="E16" s="18" t="n">
        <v>97</v>
      </c>
      <c r="F16" s="18" t="n">
        <v>135</v>
      </c>
      <c r="G16" s="18" t="n">
        <v>91</v>
      </c>
      <c r="H16" s="18" t="n">
        <v>2920</v>
      </c>
      <c r="I16" s="18" t="n">
        <v>14.63</v>
      </c>
      <c r="J16" t="inlineStr">
        <is>
          <t>Ring sync 9:01am. Sleep 5h11m (same figure as yesterday's 11:16am sync - coincidental or a stale cached read, not reconciled). HR 66bpm (well within normal, lower than recent readings). BP 135/91 - highest systolic yet in this stretch (prior: 129/89, 131/92, 127/89, 127/90), diastolic still Stage 2. HRV 43ms - third low reading out of four total this week (40, 108, 40, now 43) - the 108ms looks like the outlier, not the low readings. SpO2 97%. Pressure score 30 (lowest yet; prior 47, 53, 47). | Tonal end-of-workout summary, 7:19pm. Volume 2,920 lbs, Duration 14:38, Movement Target 100%, Calories Burned 46, Work 7.2 kJ, Time Under Tension 4:52, Coaching Cues 0. App compared to same workout on 8/3/26: volume -348 lbs, duration -0:26, work -1.5kJ, TUT +0:15, calories -1, cues -1. Lightest volume of the week by a wide margin (prior: 4,792, 4,078, 4,717, 4,629 lbs) - likely a different/lighter workout program, still 100% movement target.</t>
        </is>
      </c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46261</v>
      </c>
      <c r="B17" s="18" t="n">
        <v>6.43</v>
      </c>
      <c r="C17" s="18" t="n">
        <v>67</v>
      </c>
      <c r="D17" s="18" t="n">
        <v>25</v>
      </c>
      <c r="E17" s="18" t="n">
        <v>98</v>
      </c>
      <c r="F17" s="18" t="n">
        <v>123</v>
      </c>
      <c r="G17" s="18" t="n">
        <v>86</v>
      </c>
      <c r="H17" s="18" t="n"/>
      <c r="I17" s="18" t="n"/>
      <c r="J17" t="inlineStr">
        <is>
          <t>Ring sync 10:00am. Sleep 6h26m. HR 67bpm. BP 123/86 - best reading of the whole stretch, better than the 129/89 Aug 15 baseline. SpO2 98%. HRV 25ms - lowest reading yet (prior: 40, 108, 40, 43); now 4 of 5 readings this week have been low, reinforcing the concern rather than resolving it. Pressure score 50.</t>
        </is>
      </c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>
        <v>4308</v>
      </c>
      <c r="I19" s="18" t="n">
        <v>15.03</v>
      </c>
      <c r="J19" t="inlineStr">
        <is>
          <t>Tonal end-of-workout summary. Volume 4,308 lbs, Duration 15:02, Movement Target 100%, Calories Burned 71, Work 8.7 kJ, Time Under Tension 5:57, Coaching Cues 0. Middle-of-pack volume for the week (prior: 4,717 Sun, 4,629 Mon, 2,920 Wed; no session Tue/Thu/Fri) - still 100% movement target, 0 cues. Last day of the tracking week (Sat 8/29).</t>
        </is>
      </c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 t="n"/>
      <c r="C43" s="38" t="n"/>
      <c r="D43" s="3" t="inlineStr">
        <is>
          <t>Retired 2026-08-21 (never logged in ~a week on the dashboard — dropped per Roberto's review, no data lost)</t>
        </is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>
        <v>46252</v>
      </c>
      <c r="B8" s="18" t="n"/>
      <c r="C8" s="18" t="n">
        <v>1</v>
      </c>
      <c r="D8" s="18" t="n"/>
      <c r="E8" s="18" t="n">
        <v>0</v>
      </c>
      <c r="F8" s="18" t="n">
        <v>0</v>
      </c>
      <c r="G8" s="18" t="n">
        <v>0</v>
      </c>
      <c r="H8" s="18" t="n"/>
      <c r="I8" s="18" t="n">
        <v>1</v>
      </c>
      <c r="J8" s="18" t="n">
        <v>0</v>
      </c>
      <c r="K8" s="18" t="n"/>
      <c r="L8" s="18" t="n"/>
      <c r="M8" s="18" t="n"/>
      <c r="N8" s="18" t="n"/>
    </row>
    <row r="9">
      <c r="A9" s="29" t="n">
        <v>46253</v>
      </c>
      <c r="B9" s="18" t="n"/>
      <c r="C9" s="18" t="n">
        <v>1</v>
      </c>
      <c r="D9" s="18" t="n"/>
      <c r="E9" s="18" t="n">
        <v>0</v>
      </c>
      <c r="F9" s="18" t="n">
        <v>0</v>
      </c>
      <c r="G9" s="18" t="n">
        <v>0</v>
      </c>
      <c r="H9" s="18" t="n"/>
      <c r="I9" s="18" t="n">
        <v>1</v>
      </c>
      <c r="J9" s="18" t="n">
        <v>0</v>
      </c>
      <c r="K9" s="18" t="n"/>
      <c r="L9" s="18" t="n"/>
      <c r="M9" s="18" t="n"/>
      <c r="N9" s="18" t="n"/>
    </row>
    <row r="10">
      <c r="A10" s="29" t="n">
        <v>46254</v>
      </c>
      <c r="B10" s="18" t="n"/>
      <c r="C10" s="18" t="n">
        <v>0</v>
      </c>
      <c r="D10" s="18" t="n"/>
      <c r="E10" s="18" t="n">
        <v>0</v>
      </c>
      <c r="F10" s="18" t="n">
        <v>0</v>
      </c>
      <c r="G10" s="18" t="n">
        <v>0</v>
      </c>
      <c r="H10" s="18" t="n"/>
      <c r="I10" s="18" t="n">
        <v>0</v>
      </c>
      <c r="J10" s="18" t="n">
        <v>0</v>
      </c>
      <c r="K10" s="18" t="n"/>
      <c r="L10" s="18" t="n"/>
      <c r="M10" s="18" t="n"/>
      <c r="N10" s="18" t="n"/>
    </row>
    <row r="11">
      <c r="A11" s="29" t="n">
        <v>46255</v>
      </c>
      <c r="B11" s="18" t="n"/>
      <c r="C11" s="18" t="n">
        <v>0</v>
      </c>
      <c r="D11" s="18" t="n"/>
      <c r="E11" s="18" t="n">
        <v>0</v>
      </c>
      <c r="F11" s="18" t="n">
        <v>0</v>
      </c>
      <c r="G11" s="18" t="n">
        <v>0</v>
      </c>
      <c r="H11" s="18" t="n"/>
      <c r="I11" s="18" t="n">
        <v>1</v>
      </c>
      <c r="J11" s="18" t="n">
        <v>0</v>
      </c>
      <c r="K11" s="18" t="n"/>
      <c r="L11" s="18" t="n"/>
      <c r="M11" s="18" t="n"/>
      <c r="N11" s="18" t="n"/>
    </row>
    <row r="12">
      <c r="A12" s="29" t="n">
        <v>46256</v>
      </c>
      <c r="B12" s="18" t="n"/>
      <c r="C12" s="18" t="n">
        <v>0</v>
      </c>
      <c r="D12" s="18" t="n"/>
      <c r="E12" s="18" t="n">
        <v>0</v>
      </c>
      <c r="F12" s="18" t="n">
        <v>1</v>
      </c>
      <c r="G12" s="18" t="n">
        <v>0</v>
      </c>
      <c r="H12" s="18" t="n"/>
      <c r="I12" s="18" t="n">
        <v>0</v>
      </c>
      <c r="J12" s="18" t="n">
        <v>1</v>
      </c>
      <c r="K12" s="18" t="n"/>
      <c r="L12" s="18" t="n"/>
      <c r="M12" s="18" t="n"/>
      <c r="N12" s="18" t="n"/>
    </row>
    <row r="13">
      <c r="A13" s="29" t="n">
        <v>46257</v>
      </c>
      <c r="B13" s="18" t="n"/>
      <c r="C13" s="18" t="n">
        <v>0</v>
      </c>
      <c r="D13" s="18" t="n"/>
      <c r="E13" s="18" t="n">
        <v>0</v>
      </c>
      <c r="F13" s="18" t="n">
        <v>1</v>
      </c>
      <c r="G13" s="18" t="n">
        <v>0</v>
      </c>
      <c r="H13" s="18" t="n"/>
      <c r="I13" s="18" t="n">
        <v>0</v>
      </c>
      <c r="J13" s="18" t="n">
        <v>1</v>
      </c>
      <c r="K13" s="18" t="n"/>
      <c r="L13" s="18" t="n"/>
      <c r="M13" s="18" t="n"/>
      <c r="N13" s="18" t="n"/>
    </row>
    <row r="14">
      <c r="A14" s="29" t="n">
        <v>46258</v>
      </c>
      <c r="B14" s="18" t="n"/>
      <c r="C14" s="18" t="n">
        <v>0</v>
      </c>
      <c r="D14" s="18" t="n"/>
      <c r="E14" s="18" t="n">
        <v>0</v>
      </c>
      <c r="F14" s="18" t="n">
        <v>0</v>
      </c>
      <c r="G14" s="18" t="n">
        <v>0</v>
      </c>
      <c r="H14" s="18" t="n"/>
      <c r="I14" s="18" t="n">
        <v>0</v>
      </c>
      <c r="J14" s="18" t="n">
        <v>0</v>
      </c>
      <c r="K14" s="18" t="n"/>
      <c r="L14" s="18" t="n"/>
      <c r="M14" s="18" t="n"/>
      <c r="N14" s="18" t="n"/>
    </row>
    <row r="15">
      <c r="A15" s="29" t="n">
        <v>46259</v>
      </c>
      <c r="B15" s="18" t="n"/>
      <c r="C15" s="18" t="n">
        <v>0</v>
      </c>
      <c r="D15" s="18" t="n"/>
      <c r="E15" s="18" t="n">
        <v>0</v>
      </c>
      <c r="F15" s="18" t="n">
        <v>0</v>
      </c>
      <c r="G15" s="18" t="n">
        <v>0</v>
      </c>
      <c r="H15" s="18" t="n"/>
      <c r="I15" s="18" t="n">
        <v>0</v>
      </c>
      <c r="J15" s="18" t="n">
        <v>0</v>
      </c>
      <c r="K15" s="18" t="n"/>
      <c r="L15" s="18" t="n"/>
      <c r="M15" s="18" t="n"/>
      <c r="N15" s="18" t="n"/>
    </row>
    <row r="16">
      <c r="A16" s="29" t="n">
        <v>46260</v>
      </c>
      <c r="B16" s="18" t="n"/>
      <c r="C16" s="18" t="n">
        <v>0</v>
      </c>
      <c r="D16" s="18" t="n"/>
      <c r="E16" s="18" t="n">
        <v>0</v>
      </c>
      <c r="F16" s="18" t="n">
        <v>1</v>
      </c>
      <c r="G16" s="18" t="n">
        <v>0</v>
      </c>
      <c r="H16" s="18" t="n"/>
      <c r="I16" s="18" t="n">
        <v>0</v>
      </c>
      <c r="J16" s="18" t="n">
        <v>1</v>
      </c>
      <c r="K16" s="18" t="n"/>
      <c r="L16" s="18" t="n"/>
      <c r="M16" s="18" t="n"/>
      <c r="N16" s="18" t="n"/>
    </row>
    <row r="17">
      <c r="A17" s="29" t="n">
        <v>46261</v>
      </c>
      <c r="B17" s="18" t="n"/>
      <c r="C17" s="18" t="n">
        <v>0</v>
      </c>
      <c r="D17" s="18" t="n"/>
      <c r="E17" s="18" t="n">
        <v>0</v>
      </c>
      <c r="F17" s="18" t="n">
        <v>0</v>
      </c>
      <c r="G17" s="18" t="n">
        <v>0</v>
      </c>
      <c r="H17" s="18" t="n"/>
      <c r="I17" s="18" t="n">
        <v>0</v>
      </c>
      <c r="J17" s="18" t="n">
        <v>1</v>
      </c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2026-08-30T00:40:24Z</dcterms:modified>
</cp:coreProperties>
</file>