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Monthly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0.0"/>
    <numFmt numFmtId="166" formatCode="yyyy-mm-dd"/>
    <numFmt numFmtId="167" formatCode="#,##0.0;(#,##0.0);&quot;&quot;"/>
    <numFmt numFmtId="168" formatCode="0.0;(0.0);&quot;&quot;"/>
    <numFmt numFmtId="169" formatCode="#,##0;(#,##0);&quot;&quot;"/>
    <numFmt numFmtId="170" formatCode="mmm yyyy"/>
    <numFmt numFmtId="171" formatCode="0.0;(0.0);&quot;—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5" fontId="7" fillId="4" borderId="0" pivotButton="0" quotePrefix="0" xfId="0"/>
    <xf numFmtId="3" fontId="7" fillId="4" borderId="0" pivotButton="0" quotePrefix="0" xfId="0"/>
    <xf numFmtId="171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4" fontId="5" fillId="2" borderId="1" pivotButton="0" quotePrefix="0" xfId="0"/>
    <xf numFmtId="0" fontId="3" fillId="0" borderId="1" pivotButton="0" quotePrefix="0" xfId="0"/>
    <xf numFmtId="165" fontId="3" fillId="0" borderId="0" pivotButton="0" quotePrefix="0" xfId="0"/>
    <xf numFmtId="0" fontId="6" fillId="3" borderId="0" applyAlignment="1" pivotButton="0" quotePrefix="0" xfId="0">
      <alignment horizontal="center" wrapText="1"/>
    </xf>
    <xf numFmtId="166" fontId="5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167" fontId="3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3" fontId="3" fillId="0" borderId="0" pivotButton="0" quotePrefix="0" xfId="0"/>
    <xf numFmtId="17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MIN(16,MAX(1,ROUNDUP((TODAY()-DATE(2026,8,16)+1)/7,0)))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6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8">
        <f>IFERROR(INDEX('Monthly Summary'!C:C,$D$5),"—")</f>
        <v/>
      </c>
    </row>
    <row r="9">
      <c r="A9" s="5" t="inlineStr">
        <is>
          <t>Current (this week avg)</t>
        </is>
      </c>
      <c r="B9" s="6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6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6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6">
        <f>Targets!$B$19</f>
        <v/>
      </c>
    </row>
    <row r="12">
      <c r="A12" s="5" t="inlineStr">
        <is>
          <t>Lbs to go</t>
        </is>
      </c>
      <c r="B12" s="6">
        <f>IFERROR(INDEX('Weekly Summary'!B:B,$D$4)-Targets!$B$7,"—")</f>
        <v/>
      </c>
      <c r="D12" s="5" t="inlineStr">
        <is>
          <t>Weight change this week</t>
        </is>
      </c>
      <c r="E12" s="8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58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12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14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16" t="n">
        <v>46249</v>
      </c>
      <c r="B2" s="17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19">
        <f>IF(C2="","",C2-Targets!$B$12)</f>
        <v/>
      </c>
      <c r="K2" s="19">
        <f>IF(D2="","",D2-Targets!$B$13)</f>
        <v/>
      </c>
      <c r="L2" s="19">
        <f>IFERROR(AVERAGEIFS($B$2:$B2,$A$2:$A2,"&gt;="&amp;(A2-6),$A$2:$A2,"&lt;="&amp;A2),"")</f>
        <v/>
      </c>
      <c r="M2" s="19">
        <f>IFERROR(AVERAGEIFS($C$2:$C2,$A$2:$A2,"&gt;="&amp;(A2-6),$A$2:$A2,"&lt;="&amp;A2),"")</f>
        <v/>
      </c>
    </row>
    <row r="3">
      <c r="A3" s="20" t="n">
        <v>46250</v>
      </c>
      <c r="B3" s="17" t="n"/>
      <c r="C3" s="18" t="n"/>
      <c r="D3" s="18" t="n"/>
      <c r="E3" s="18" t="n"/>
      <c r="F3" s="18" t="n"/>
      <c r="G3" s="18" t="n"/>
      <c r="H3" s="18" t="n"/>
      <c r="I3" s="18" t="n"/>
      <c r="J3" s="19">
        <f>IF(C3="","",C3-Targets!$B$12)</f>
        <v/>
      </c>
      <c r="K3" s="19">
        <f>IF(D3="","",D3-Targets!$B$13)</f>
        <v/>
      </c>
      <c r="L3" s="19">
        <f>IFERROR(AVERAGEIFS($B$2:$B3,$A$2:$A3,"&gt;="&amp;(A3-6),$A$2:$A3,"&lt;="&amp;A3),"")</f>
        <v/>
      </c>
      <c r="M3" s="19">
        <f>IFERROR(AVERAGEIFS($C$2:$C3,$A$2:$A3,"&gt;="&amp;(A3-6),$A$2:$A3,"&lt;="&amp;A3),"")</f>
        <v/>
      </c>
    </row>
    <row r="4">
      <c r="A4" s="20" t="n">
        <v>46251</v>
      </c>
      <c r="B4" s="17" t="n"/>
      <c r="C4" s="18" t="n"/>
      <c r="D4" s="18" t="n"/>
      <c r="E4" s="18" t="n"/>
      <c r="F4" s="18" t="n"/>
      <c r="G4" s="18" t="n"/>
      <c r="H4" s="18" t="n"/>
      <c r="I4" s="18" t="n"/>
      <c r="J4" s="19">
        <f>IF(C4="","",C4-Targets!$B$12)</f>
        <v/>
      </c>
      <c r="K4" s="19">
        <f>IF(D4="","",D4-Targets!$B$13)</f>
        <v/>
      </c>
      <c r="L4" s="19">
        <f>IFERROR(AVERAGEIFS($B$2:$B4,$A$2:$A4,"&gt;="&amp;(A4-6),$A$2:$A4,"&lt;="&amp;A4),"")</f>
        <v/>
      </c>
      <c r="M4" s="19">
        <f>IFERROR(AVERAGEIFS($C$2:$C4,$A$2:$A4,"&gt;="&amp;(A4-6),$A$2:$A4,"&lt;="&amp;A4),"")</f>
        <v/>
      </c>
    </row>
    <row r="5">
      <c r="A5" s="20" t="n">
        <v>46252</v>
      </c>
      <c r="B5" s="17" t="n"/>
      <c r="C5" s="18" t="n"/>
      <c r="D5" s="18" t="n"/>
      <c r="E5" s="18" t="n"/>
      <c r="F5" s="18" t="n"/>
      <c r="G5" s="18" t="n"/>
      <c r="H5" s="18" t="n"/>
      <c r="I5" s="18" t="n"/>
      <c r="J5" s="19">
        <f>IF(C5="","",C5-Targets!$B$12)</f>
        <v/>
      </c>
      <c r="K5" s="19">
        <f>IF(D5="","",D5-Targets!$B$13)</f>
        <v/>
      </c>
      <c r="L5" s="19">
        <f>IFERROR(AVERAGEIFS($B$2:$B5,$A$2:$A5,"&gt;="&amp;(A5-6),$A$2:$A5,"&lt;="&amp;A5),"")</f>
        <v/>
      </c>
      <c r="M5" s="19">
        <f>IFERROR(AVERAGEIFS($C$2:$C5,$A$2:$A5,"&gt;="&amp;(A5-6),$A$2:$A5,"&lt;="&amp;A5),"")</f>
        <v/>
      </c>
    </row>
    <row r="6">
      <c r="A6" s="20" t="n">
        <v>46253</v>
      </c>
      <c r="B6" s="17" t="n"/>
      <c r="C6" s="18" t="n"/>
      <c r="D6" s="18" t="n"/>
      <c r="E6" s="18" t="n"/>
      <c r="F6" s="18" t="n"/>
      <c r="G6" s="18" t="n"/>
      <c r="H6" s="18" t="n"/>
      <c r="I6" s="18" t="n"/>
      <c r="J6" s="19">
        <f>IF(C6="","",C6-Targets!$B$12)</f>
        <v/>
      </c>
      <c r="K6" s="19">
        <f>IF(D6="","",D6-Targets!$B$13)</f>
        <v/>
      </c>
      <c r="L6" s="19">
        <f>IFERROR(AVERAGEIFS($B$2:$B6,$A$2:$A6,"&gt;="&amp;(A6-6),$A$2:$A6,"&lt;="&amp;A6),"")</f>
        <v/>
      </c>
      <c r="M6" s="19">
        <f>IFERROR(AVERAGEIFS($C$2:$C6,$A$2:$A6,"&gt;="&amp;(A6-6),$A$2:$A6,"&lt;="&amp;A6),"")</f>
        <v/>
      </c>
    </row>
    <row r="7">
      <c r="A7" s="20" t="n">
        <v>46254</v>
      </c>
      <c r="B7" s="17" t="n"/>
      <c r="C7" s="18" t="n"/>
      <c r="D7" s="18" t="n"/>
      <c r="E7" s="18" t="n"/>
      <c r="F7" s="18" t="n"/>
      <c r="G7" s="18" t="n"/>
      <c r="H7" s="18" t="n"/>
      <c r="I7" s="18" t="n"/>
      <c r="J7" s="19">
        <f>IF(C7="","",C7-Targets!$B$12)</f>
        <v/>
      </c>
      <c r="K7" s="19">
        <f>IF(D7="","",D7-Targets!$B$13)</f>
        <v/>
      </c>
      <c r="L7" s="19">
        <f>IFERROR(AVERAGEIFS($B$2:$B7,$A$2:$A7,"&gt;="&amp;(A7-6),$A$2:$A7,"&lt;="&amp;A7),"")</f>
        <v/>
      </c>
      <c r="M7" s="19">
        <f>IFERROR(AVERAGEIFS($C$2:$C7,$A$2:$A7,"&gt;="&amp;(A7-6),$A$2:$A7,"&lt;="&amp;A7),"")</f>
        <v/>
      </c>
    </row>
    <row r="8">
      <c r="A8" s="20" t="n">
        <v>46255</v>
      </c>
      <c r="B8" s="17" t="n"/>
      <c r="C8" s="18" t="n"/>
      <c r="D8" s="18" t="n"/>
      <c r="E8" s="18" t="n"/>
      <c r="F8" s="18" t="n"/>
      <c r="G8" s="18" t="n"/>
      <c r="H8" s="18" t="n"/>
      <c r="I8" s="18" t="n"/>
      <c r="J8" s="19">
        <f>IF(C8="","",C8-Targets!$B$12)</f>
        <v/>
      </c>
      <c r="K8" s="19">
        <f>IF(D8="","",D8-Targets!$B$13)</f>
        <v/>
      </c>
      <c r="L8" s="19">
        <f>IFERROR(AVERAGEIFS($B$2:$B8,$A$2:$A8,"&gt;="&amp;(A8-6),$A$2:$A8,"&lt;="&amp;A8),"")</f>
        <v/>
      </c>
      <c r="M8" s="19">
        <f>IFERROR(AVERAGEIFS($C$2:$C8,$A$2:$A8,"&gt;="&amp;(A8-6),$A$2:$A8,"&lt;="&amp;A8),"")</f>
        <v/>
      </c>
    </row>
    <row r="9">
      <c r="A9" s="20" t="n">
        <v>46256</v>
      </c>
      <c r="B9" s="17" t="n"/>
      <c r="C9" s="18" t="n"/>
      <c r="D9" s="18" t="n"/>
      <c r="E9" s="18" t="n"/>
      <c r="F9" s="18" t="n"/>
      <c r="G9" s="18" t="n"/>
      <c r="H9" s="18" t="n"/>
      <c r="I9" s="18" t="n"/>
      <c r="J9" s="19">
        <f>IF(C9="","",C9-Targets!$B$12)</f>
        <v/>
      </c>
      <c r="K9" s="19">
        <f>IF(D9="","",D9-Targets!$B$13)</f>
        <v/>
      </c>
      <c r="L9" s="19">
        <f>IFERROR(AVERAGEIFS($B$2:$B9,$A$2:$A9,"&gt;="&amp;(A9-6),$A$2:$A9,"&lt;="&amp;A9),"")</f>
        <v/>
      </c>
      <c r="M9" s="19">
        <f>IFERROR(AVERAGEIFS($C$2:$C9,$A$2:$A9,"&gt;="&amp;(A9-6),$A$2:$A9,"&lt;="&amp;A9),"")</f>
        <v/>
      </c>
    </row>
    <row r="10">
      <c r="A10" s="20" t="n">
        <v>46257</v>
      </c>
      <c r="B10" s="17" t="n"/>
      <c r="C10" s="18" t="n"/>
      <c r="D10" s="18" t="n"/>
      <c r="E10" s="18" t="n"/>
      <c r="F10" s="18" t="n"/>
      <c r="G10" s="18" t="n"/>
      <c r="H10" s="18" t="n"/>
      <c r="I10" s="18" t="n"/>
      <c r="J10" s="19">
        <f>IF(C10="","",C10-Targets!$B$12)</f>
        <v/>
      </c>
      <c r="K10" s="19">
        <f>IF(D10="","",D10-Targets!$B$13)</f>
        <v/>
      </c>
      <c r="L10" s="19">
        <f>IFERROR(AVERAGEIFS($B$2:$B10,$A$2:$A10,"&gt;="&amp;(A10-6),$A$2:$A10,"&lt;="&amp;A10),"")</f>
        <v/>
      </c>
      <c r="M10" s="19">
        <f>IFERROR(AVERAGEIFS($C$2:$C10,$A$2:$A10,"&gt;="&amp;(A10-6),$A$2:$A10,"&lt;="&amp;A10),"")</f>
        <v/>
      </c>
    </row>
    <row r="11">
      <c r="A11" s="20" t="n">
        <v>46258</v>
      </c>
      <c r="B11" s="17" t="n"/>
      <c r="C11" s="18" t="n"/>
      <c r="D11" s="18" t="n"/>
      <c r="E11" s="18" t="n"/>
      <c r="F11" s="18" t="n"/>
      <c r="G11" s="18" t="n"/>
      <c r="H11" s="18" t="n"/>
      <c r="I11" s="18" t="n"/>
      <c r="J11" s="19">
        <f>IF(C11="","",C11-Targets!$B$12)</f>
        <v/>
      </c>
      <c r="K11" s="19">
        <f>IF(D11="","",D11-Targets!$B$13)</f>
        <v/>
      </c>
      <c r="L11" s="19">
        <f>IFERROR(AVERAGEIFS($B$2:$B11,$A$2:$A11,"&gt;="&amp;(A11-6),$A$2:$A11,"&lt;="&amp;A11),"")</f>
        <v/>
      </c>
      <c r="M11" s="19">
        <f>IFERROR(AVERAGEIFS($C$2:$C11,$A$2:$A11,"&gt;="&amp;(A11-6),$A$2:$A11,"&lt;="&amp;A11),"")</f>
        <v/>
      </c>
    </row>
    <row r="12">
      <c r="A12" s="20" t="n">
        <v>46259</v>
      </c>
      <c r="B12" s="17" t="n"/>
      <c r="C12" s="18" t="n"/>
      <c r="D12" s="18" t="n"/>
      <c r="E12" s="18" t="n"/>
      <c r="F12" s="18" t="n"/>
      <c r="G12" s="18" t="n"/>
      <c r="H12" s="18" t="n"/>
      <c r="I12" s="18" t="n"/>
      <c r="J12" s="19">
        <f>IF(C12="","",C12-Targets!$B$12)</f>
        <v/>
      </c>
      <c r="K12" s="19">
        <f>IF(D12="","",D12-Targets!$B$13)</f>
        <v/>
      </c>
      <c r="L12" s="19">
        <f>IFERROR(AVERAGEIFS($B$2:$B12,$A$2:$A12,"&gt;="&amp;(A12-6),$A$2:$A12,"&lt;="&amp;A12),"")</f>
        <v/>
      </c>
      <c r="M12" s="19">
        <f>IFERROR(AVERAGEIFS($C$2:$C12,$A$2:$A12,"&gt;="&amp;(A12-6),$A$2:$A12,"&lt;="&amp;A12),"")</f>
        <v/>
      </c>
    </row>
    <row r="13">
      <c r="A13" s="20" t="n">
        <v>46260</v>
      </c>
      <c r="B13" s="17" t="n"/>
      <c r="C13" s="18" t="n"/>
      <c r="D13" s="18" t="n"/>
      <c r="E13" s="18" t="n"/>
      <c r="F13" s="18" t="n"/>
      <c r="G13" s="18" t="n"/>
      <c r="H13" s="18" t="n"/>
      <c r="I13" s="18" t="n"/>
      <c r="J13" s="19">
        <f>IF(C13="","",C13-Targets!$B$12)</f>
        <v/>
      </c>
      <c r="K13" s="19">
        <f>IF(D13="","",D13-Targets!$B$13)</f>
        <v/>
      </c>
      <c r="L13" s="19">
        <f>IFERROR(AVERAGEIFS($B$2:$B13,$A$2:$A13,"&gt;="&amp;(A13-6),$A$2:$A13,"&lt;="&amp;A13),"")</f>
        <v/>
      </c>
      <c r="M13" s="19">
        <f>IFERROR(AVERAGEIFS($C$2:$C13,$A$2:$A13,"&gt;="&amp;(A13-6),$A$2:$A13,"&lt;="&amp;A13),"")</f>
        <v/>
      </c>
    </row>
    <row r="14">
      <c r="A14" s="20" t="n">
        <v>46261</v>
      </c>
      <c r="B14" s="17" t="n"/>
      <c r="C14" s="18" t="n"/>
      <c r="D14" s="18" t="n"/>
      <c r="E14" s="18" t="n"/>
      <c r="F14" s="18" t="n"/>
      <c r="G14" s="18" t="n"/>
      <c r="H14" s="18" t="n"/>
      <c r="I14" s="18" t="n"/>
      <c r="J14" s="19">
        <f>IF(C14="","",C14-Targets!$B$12)</f>
        <v/>
      </c>
      <c r="K14" s="19">
        <f>IF(D14="","",D14-Targets!$B$13)</f>
        <v/>
      </c>
      <c r="L14" s="19">
        <f>IFERROR(AVERAGEIFS($B$2:$B14,$A$2:$A14,"&gt;="&amp;(A14-6),$A$2:$A14,"&lt;="&amp;A14),"")</f>
        <v/>
      </c>
      <c r="M14" s="19">
        <f>IFERROR(AVERAGEIFS($C$2:$C14,$A$2:$A14,"&gt;="&amp;(A14-6),$A$2:$A14,"&lt;="&amp;A14),"")</f>
        <v/>
      </c>
    </row>
    <row r="15">
      <c r="A15" s="20" t="n">
        <v>46262</v>
      </c>
      <c r="B15" s="17" t="n"/>
      <c r="C15" s="18" t="n"/>
      <c r="D15" s="18" t="n"/>
      <c r="E15" s="18" t="n"/>
      <c r="F15" s="18" t="n"/>
      <c r="G15" s="18" t="n"/>
      <c r="H15" s="18" t="n"/>
      <c r="I15" s="18" t="n"/>
      <c r="J15" s="19">
        <f>IF(C15="","",C15-Targets!$B$12)</f>
        <v/>
      </c>
      <c r="K15" s="19">
        <f>IF(D15="","",D15-Targets!$B$13)</f>
        <v/>
      </c>
      <c r="L15" s="19">
        <f>IFERROR(AVERAGEIFS($B$2:$B15,$A$2:$A15,"&gt;="&amp;(A15-6),$A$2:$A15,"&lt;="&amp;A15),"")</f>
        <v/>
      </c>
      <c r="M15" s="19">
        <f>IFERROR(AVERAGEIFS($C$2:$C15,$A$2:$A15,"&gt;="&amp;(A15-6),$A$2:$A15,"&lt;="&amp;A15),"")</f>
        <v/>
      </c>
    </row>
    <row r="16">
      <c r="A16" s="20" t="n">
        <v>46263</v>
      </c>
      <c r="B16" s="17" t="n"/>
      <c r="C16" s="18" t="n"/>
      <c r="D16" s="18" t="n"/>
      <c r="E16" s="18" t="n"/>
      <c r="F16" s="18" t="n"/>
      <c r="G16" s="18" t="n"/>
      <c r="H16" s="18" t="n"/>
      <c r="I16" s="18" t="n"/>
      <c r="J16" s="19">
        <f>IF(C16="","",C16-Targets!$B$12)</f>
        <v/>
      </c>
      <c r="K16" s="19">
        <f>IF(D16="","",D16-Targets!$B$13)</f>
        <v/>
      </c>
      <c r="L16" s="19">
        <f>IFERROR(AVERAGEIFS($B$2:$B16,$A$2:$A16,"&gt;="&amp;(A16-6),$A$2:$A16,"&lt;="&amp;A16),"")</f>
        <v/>
      </c>
      <c r="M16" s="19">
        <f>IFERROR(AVERAGEIFS($C$2:$C16,$A$2:$A16,"&gt;="&amp;(A16-6),$A$2:$A16,"&lt;="&amp;A16),"")</f>
        <v/>
      </c>
    </row>
    <row r="17">
      <c r="A17" s="20" t="n">
        <v>46264</v>
      </c>
      <c r="B17" s="17" t="n"/>
      <c r="C17" s="18" t="n"/>
      <c r="D17" s="18" t="n"/>
      <c r="E17" s="18" t="n"/>
      <c r="F17" s="18" t="n"/>
      <c r="G17" s="18" t="n"/>
      <c r="H17" s="18" t="n"/>
      <c r="I17" s="18" t="n"/>
      <c r="J17" s="19">
        <f>IF(C17="","",C17-Targets!$B$12)</f>
        <v/>
      </c>
      <c r="K17" s="19">
        <f>IF(D17="","",D17-Targets!$B$13)</f>
        <v/>
      </c>
      <c r="L17" s="19">
        <f>IFERROR(AVERAGEIFS($B$2:$B17,$A$2:$A17,"&gt;="&amp;(A17-6),$A$2:$A17,"&lt;="&amp;A17),"")</f>
        <v/>
      </c>
      <c r="M17" s="19">
        <f>IFERROR(AVERAGEIFS($C$2:$C17,$A$2:$A17,"&gt;="&amp;(A17-6),$A$2:$A17,"&lt;="&amp;A17),"")</f>
        <v/>
      </c>
    </row>
    <row r="18">
      <c r="A18" s="20" t="n">
        <v>46265</v>
      </c>
      <c r="B18" s="17" t="n"/>
      <c r="C18" s="18" t="n"/>
      <c r="D18" s="18" t="n"/>
      <c r="E18" s="18" t="n"/>
      <c r="F18" s="18" t="n"/>
      <c r="G18" s="18" t="n"/>
      <c r="H18" s="18" t="n"/>
      <c r="I18" s="18" t="n"/>
      <c r="J18" s="19">
        <f>IF(C18="","",C18-Targets!$B$12)</f>
        <v/>
      </c>
      <c r="K18" s="19">
        <f>IF(D18="","",D18-Targets!$B$13)</f>
        <v/>
      </c>
      <c r="L18" s="19">
        <f>IFERROR(AVERAGEIFS($B$2:$B18,$A$2:$A18,"&gt;="&amp;(A18-6),$A$2:$A18,"&lt;="&amp;A18),"")</f>
        <v/>
      </c>
      <c r="M18" s="19">
        <f>IFERROR(AVERAGEIFS($C$2:$C18,$A$2:$A18,"&gt;="&amp;(A18-6),$A$2:$A18,"&lt;="&amp;A18),"")</f>
        <v/>
      </c>
    </row>
    <row r="19">
      <c r="A19" s="20" t="n">
        <v>46266</v>
      </c>
      <c r="B19" s="17" t="n"/>
      <c r="C19" s="18" t="n"/>
      <c r="D19" s="18" t="n"/>
      <c r="E19" s="18" t="n"/>
      <c r="F19" s="18" t="n"/>
      <c r="G19" s="18" t="n"/>
      <c r="H19" s="18" t="n"/>
      <c r="I19" s="18" t="n"/>
      <c r="J19" s="19">
        <f>IF(C19="","",C19-Targets!$B$12)</f>
        <v/>
      </c>
      <c r="K19" s="19">
        <f>IF(D19="","",D19-Targets!$B$13)</f>
        <v/>
      </c>
      <c r="L19" s="19">
        <f>IFERROR(AVERAGEIFS($B$2:$B19,$A$2:$A19,"&gt;="&amp;(A19-6),$A$2:$A19,"&lt;="&amp;A19),"")</f>
        <v/>
      </c>
      <c r="M19" s="19">
        <f>IFERROR(AVERAGEIFS($C$2:$C19,$A$2:$A19,"&gt;="&amp;(A19-6),$A$2:$A19,"&lt;="&amp;A19),"")</f>
        <v/>
      </c>
    </row>
    <row r="20">
      <c r="A20" s="20" t="n">
        <v>46267</v>
      </c>
      <c r="B20" s="17" t="n"/>
      <c r="C20" s="18" t="n"/>
      <c r="D20" s="18" t="n"/>
      <c r="E20" s="18" t="n"/>
      <c r="F20" s="18" t="n"/>
      <c r="G20" s="18" t="n"/>
      <c r="H20" s="18" t="n"/>
      <c r="I20" s="18" t="n"/>
      <c r="J20" s="19">
        <f>IF(C20="","",C20-Targets!$B$12)</f>
        <v/>
      </c>
      <c r="K20" s="19">
        <f>IF(D20="","",D20-Targets!$B$13)</f>
        <v/>
      </c>
      <c r="L20" s="19">
        <f>IFERROR(AVERAGEIFS($B$2:$B20,$A$2:$A20,"&gt;="&amp;(A20-6),$A$2:$A20,"&lt;="&amp;A20),"")</f>
        <v/>
      </c>
      <c r="M20" s="19">
        <f>IFERROR(AVERAGEIFS($C$2:$C20,$A$2:$A20,"&gt;="&amp;(A20-6),$A$2:$A20,"&lt;="&amp;A20),"")</f>
        <v/>
      </c>
    </row>
    <row r="21">
      <c r="A21" s="20" t="n">
        <v>46268</v>
      </c>
      <c r="B21" s="17" t="n"/>
      <c r="C21" s="18" t="n"/>
      <c r="D21" s="18" t="n"/>
      <c r="E21" s="18" t="n"/>
      <c r="F21" s="18" t="n"/>
      <c r="G21" s="18" t="n"/>
      <c r="H21" s="18" t="n"/>
      <c r="I21" s="18" t="n"/>
      <c r="J21" s="19">
        <f>IF(C21="","",C21-Targets!$B$12)</f>
        <v/>
      </c>
      <c r="K21" s="19">
        <f>IF(D21="","",D21-Targets!$B$13)</f>
        <v/>
      </c>
      <c r="L21" s="19">
        <f>IFERROR(AVERAGEIFS($B$2:$B21,$A$2:$A21,"&gt;="&amp;(A21-6),$A$2:$A21,"&lt;="&amp;A21),"")</f>
        <v/>
      </c>
      <c r="M21" s="19">
        <f>IFERROR(AVERAGEIFS($C$2:$C21,$A$2:$A21,"&gt;="&amp;(A21-6),$A$2:$A21,"&lt;="&amp;A21),"")</f>
        <v/>
      </c>
    </row>
    <row r="22">
      <c r="A22" s="20" t="n">
        <v>46269</v>
      </c>
      <c r="B22" s="17" t="n"/>
      <c r="C22" s="18" t="n"/>
      <c r="D22" s="18" t="n"/>
      <c r="E22" s="18" t="n"/>
      <c r="F22" s="18" t="n"/>
      <c r="G22" s="18" t="n"/>
      <c r="H22" s="18" t="n"/>
      <c r="I22" s="18" t="n"/>
      <c r="J22" s="19">
        <f>IF(C22="","",C22-Targets!$B$12)</f>
        <v/>
      </c>
      <c r="K22" s="19">
        <f>IF(D22="","",D22-Targets!$B$13)</f>
        <v/>
      </c>
      <c r="L22" s="19">
        <f>IFERROR(AVERAGEIFS($B$2:$B22,$A$2:$A22,"&gt;="&amp;(A22-6),$A$2:$A22,"&lt;="&amp;A22),"")</f>
        <v/>
      </c>
      <c r="M22" s="19">
        <f>IFERROR(AVERAGEIFS($C$2:$C22,$A$2:$A22,"&gt;="&amp;(A22-6),$A$2:$A22,"&lt;="&amp;A22),"")</f>
        <v/>
      </c>
    </row>
    <row r="23">
      <c r="A23" s="20" t="n">
        <v>46270</v>
      </c>
      <c r="B23" s="17" t="n"/>
      <c r="C23" s="18" t="n"/>
      <c r="D23" s="18" t="n"/>
      <c r="E23" s="18" t="n"/>
      <c r="F23" s="18" t="n"/>
      <c r="G23" s="18" t="n"/>
      <c r="H23" s="18" t="n"/>
      <c r="I23" s="18" t="n"/>
      <c r="J23" s="19">
        <f>IF(C23="","",C23-Targets!$B$12)</f>
        <v/>
      </c>
      <c r="K23" s="19">
        <f>IF(D23="","",D23-Targets!$B$13)</f>
        <v/>
      </c>
      <c r="L23" s="19">
        <f>IFERROR(AVERAGEIFS($B$2:$B23,$A$2:$A23,"&gt;="&amp;(A23-6),$A$2:$A23,"&lt;="&amp;A23),"")</f>
        <v/>
      </c>
      <c r="M23" s="19">
        <f>IFERROR(AVERAGEIFS($C$2:$C23,$A$2:$A23,"&gt;="&amp;(A23-6),$A$2:$A23,"&lt;="&amp;A23),"")</f>
        <v/>
      </c>
    </row>
    <row r="24">
      <c r="A24" s="20" t="n">
        <v>46271</v>
      </c>
      <c r="B24" s="17" t="n"/>
      <c r="C24" s="18" t="n"/>
      <c r="D24" s="18" t="n"/>
      <c r="E24" s="18" t="n"/>
      <c r="F24" s="18" t="n"/>
      <c r="G24" s="18" t="n"/>
      <c r="H24" s="18" t="n"/>
      <c r="I24" s="18" t="n"/>
      <c r="J24" s="19">
        <f>IF(C24="","",C24-Targets!$B$12)</f>
        <v/>
      </c>
      <c r="K24" s="19">
        <f>IF(D24="","",D24-Targets!$B$13)</f>
        <v/>
      </c>
      <c r="L24" s="19">
        <f>IFERROR(AVERAGEIFS($B$2:$B24,$A$2:$A24,"&gt;="&amp;(A24-6),$A$2:$A24,"&lt;="&amp;A24),"")</f>
        <v/>
      </c>
      <c r="M24" s="19">
        <f>IFERROR(AVERAGEIFS($C$2:$C24,$A$2:$A24,"&gt;="&amp;(A24-6),$A$2:$A24,"&lt;="&amp;A24),"")</f>
        <v/>
      </c>
    </row>
    <row r="25">
      <c r="A25" s="20" t="n">
        <v>46272</v>
      </c>
      <c r="B25" s="17" t="n"/>
      <c r="C25" s="18" t="n"/>
      <c r="D25" s="18" t="n"/>
      <c r="E25" s="18" t="n"/>
      <c r="F25" s="18" t="n"/>
      <c r="G25" s="18" t="n"/>
      <c r="H25" s="18" t="n"/>
      <c r="I25" s="18" t="n"/>
      <c r="J25" s="19">
        <f>IF(C25="","",C25-Targets!$B$12)</f>
        <v/>
      </c>
      <c r="K25" s="19">
        <f>IF(D25="","",D25-Targets!$B$13)</f>
        <v/>
      </c>
      <c r="L25" s="19">
        <f>IFERROR(AVERAGEIFS($B$2:$B25,$A$2:$A25,"&gt;="&amp;(A25-6),$A$2:$A25,"&lt;="&amp;A25),"")</f>
        <v/>
      </c>
      <c r="M25" s="19">
        <f>IFERROR(AVERAGEIFS($C$2:$C25,$A$2:$A25,"&gt;="&amp;(A25-6),$A$2:$A25,"&lt;="&amp;A25),"")</f>
        <v/>
      </c>
    </row>
    <row r="26">
      <c r="A26" s="20" t="n">
        <v>46273</v>
      </c>
      <c r="B26" s="17" t="n"/>
      <c r="C26" s="18" t="n"/>
      <c r="D26" s="18" t="n"/>
      <c r="E26" s="18" t="n"/>
      <c r="F26" s="18" t="n"/>
      <c r="G26" s="18" t="n"/>
      <c r="H26" s="18" t="n"/>
      <c r="I26" s="18" t="n"/>
      <c r="J26" s="19">
        <f>IF(C26="","",C26-Targets!$B$12)</f>
        <v/>
      </c>
      <c r="K26" s="19">
        <f>IF(D26="","",D26-Targets!$B$13)</f>
        <v/>
      </c>
      <c r="L26" s="19">
        <f>IFERROR(AVERAGEIFS($B$2:$B26,$A$2:$A26,"&gt;="&amp;(A26-6),$A$2:$A26,"&lt;="&amp;A26),"")</f>
        <v/>
      </c>
      <c r="M26" s="19">
        <f>IFERROR(AVERAGEIFS($C$2:$C26,$A$2:$A26,"&gt;="&amp;(A26-6),$A$2:$A26,"&lt;="&amp;A26),"")</f>
        <v/>
      </c>
    </row>
    <row r="27">
      <c r="A27" s="20" t="n">
        <v>46274</v>
      </c>
      <c r="B27" s="17" t="n"/>
      <c r="C27" s="18" t="n"/>
      <c r="D27" s="18" t="n"/>
      <c r="E27" s="18" t="n"/>
      <c r="F27" s="18" t="n"/>
      <c r="G27" s="18" t="n"/>
      <c r="H27" s="18" t="n"/>
      <c r="I27" s="18" t="n"/>
      <c r="J27" s="19">
        <f>IF(C27="","",C27-Targets!$B$12)</f>
        <v/>
      </c>
      <c r="K27" s="19">
        <f>IF(D27="","",D27-Targets!$B$13)</f>
        <v/>
      </c>
      <c r="L27" s="19">
        <f>IFERROR(AVERAGEIFS($B$2:$B27,$A$2:$A27,"&gt;="&amp;(A27-6),$A$2:$A27,"&lt;="&amp;A27),"")</f>
        <v/>
      </c>
      <c r="M27" s="19">
        <f>IFERROR(AVERAGEIFS($C$2:$C27,$A$2:$A27,"&gt;="&amp;(A27-6),$A$2:$A27,"&lt;="&amp;A27),"")</f>
        <v/>
      </c>
    </row>
    <row r="28">
      <c r="A28" s="20" t="n">
        <v>46275</v>
      </c>
      <c r="B28" s="17" t="n"/>
      <c r="C28" s="18" t="n"/>
      <c r="D28" s="18" t="n"/>
      <c r="E28" s="18" t="n"/>
      <c r="F28" s="18" t="n"/>
      <c r="G28" s="18" t="n"/>
      <c r="H28" s="18" t="n"/>
      <c r="I28" s="18" t="n"/>
      <c r="J28" s="19">
        <f>IF(C28="","",C28-Targets!$B$12)</f>
        <v/>
      </c>
      <c r="K28" s="19">
        <f>IF(D28="","",D28-Targets!$B$13)</f>
        <v/>
      </c>
      <c r="L28" s="19">
        <f>IFERROR(AVERAGEIFS($B$2:$B28,$A$2:$A28,"&gt;="&amp;(A28-6),$A$2:$A28,"&lt;="&amp;A28),"")</f>
        <v/>
      </c>
      <c r="M28" s="19">
        <f>IFERROR(AVERAGEIFS($C$2:$C28,$A$2:$A28,"&gt;="&amp;(A28-6),$A$2:$A28,"&lt;="&amp;A28),"")</f>
        <v/>
      </c>
    </row>
    <row r="29">
      <c r="A29" s="20" t="n">
        <v>46276</v>
      </c>
      <c r="B29" s="17" t="n"/>
      <c r="C29" s="18" t="n"/>
      <c r="D29" s="18" t="n"/>
      <c r="E29" s="18" t="n"/>
      <c r="F29" s="18" t="n"/>
      <c r="G29" s="18" t="n"/>
      <c r="H29" s="18" t="n"/>
      <c r="I29" s="18" t="n"/>
      <c r="J29" s="19">
        <f>IF(C29="","",C29-Targets!$B$12)</f>
        <v/>
      </c>
      <c r="K29" s="19">
        <f>IF(D29="","",D29-Targets!$B$13)</f>
        <v/>
      </c>
      <c r="L29" s="19">
        <f>IFERROR(AVERAGEIFS($B$2:$B29,$A$2:$A29,"&gt;="&amp;(A29-6),$A$2:$A29,"&lt;="&amp;A29),"")</f>
        <v/>
      </c>
      <c r="M29" s="19">
        <f>IFERROR(AVERAGEIFS($C$2:$C29,$A$2:$A29,"&gt;="&amp;(A29-6),$A$2:$A29,"&lt;="&amp;A29),"")</f>
        <v/>
      </c>
    </row>
    <row r="30">
      <c r="A30" s="20" t="n">
        <v>46277</v>
      </c>
      <c r="B30" s="17" t="n"/>
      <c r="C30" s="18" t="n"/>
      <c r="D30" s="18" t="n"/>
      <c r="E30" s="18" t="n"/>
      <c r="F30" s="18" t="n"/>
      <c r="G30" s="18" t="n"/>
      <c r="H30" s="18" t="n"/>
      <c r="I30" s="18" t="n"/>
      <c r="J30" s="19">
        <f>IF(C30="","",C30-Targets!$B$12)</f>
        <v/>
      </c>
      <c r="K30" s="19">
        <f>IF(D30="","",D30-Targets!$B$13)</f>
        <v/>
      </c>
      <c r="L30" s="19">
        <f>IFERROR(AVERAGEIFS($B$2:$B30,$A$2:$A30,"&gt;="&amp;(A30-6),$A$2:$A30,"&lt;="&amp;A30),"")</f>
        <v/>
      </c>
      <c r="M30" s="19">
        <f>IFERROR(AVERAGEIFS($C$2:$C30,$A$2:$A30,"&gt;="&amp;(A30-6),$A$2:$A30,"&lt;="&amp;A30),"")</f>
        <v/>
      </c>
    </row>
    <row r="31">
      <c r="A31" s="20" t="n">
        <v>46278</v>
      </c>
      <c r="B31" s="17" t="n"/>
      <c r="C31" s="18" t="n"/>
      <c r="D31" s="18" t="n"/>
      <c r="E31" s="18" t="n"/>
      <c r="F31" s="18" t="n"/>
      <c r="G31" s="18" t="n"/>
      <c r="H31" s="18" t="n"/>
      <c r="I31" s="18" t="n"/>
      <c r="J31" s="19">
        <f>IF(C31="","",C31-Targets!$B$12)</f>
        <v/>
      </c>
      <c r="K31" s="19">
        <f>IF(D31="","",D31-Targets!$B$13)</f>
        <v/>
      </c>
      <c r="L31" s="19">
        <f>IFERROR(AVERAGEIFS($B$2:$B31,$A$2:$A31,"&gt;="&amp;(A31-6),$A$2:$A31,"&lt;="&amp;A31),"")</f>
        <v/>
      </c>
      <c r="M31" s="19">
        <f>IFERROR(AVERAGEIFS($C$2:$C31,$A$2:$A31,"&gt;="&amp;(A31-6),$A$2:$A31,"&lt;="&amp;A31),"")</f>
        <v/>
      </c>
    </row>
    <row r="32">
      <c r="A32" s="20" t="n">
        <v>46279</v>
      </c>
      <c r="B32" s="17" t="n"/>
      <c r="C32" s="18" t="n"/>
      <c r="D32" s="18" t="n"/>
      <c r="E32" s="18" t="n"/>
      <c r="F32" s="18" t="n"/>
      <c r="G32" s="18" t="n"/>
      <c r="H32" s="18" t="n"/>
      <c r="I32" s="18" t="n"/>
      <c r="J32" s="19">
        <f>IF(C32="","",C32-Targets!$B$12)</f>
        <v/>
      </c>
      <c r="K32" s="19">
        <f>IF(D32="","",D32-Targets!$B$13)</f>
        <v/>
      </c>
      <c r="L32" s="19">
        <f>IFERROR(AVERAGEIFS($B$2:$B32,$A$2:$A32,"&gt;="&amp;(A32-6),$A$2:$A32,"&lt;="&amp;A32),"")</f>
        <v/>
      </c>
      <c r="M32" s="19">
        <f>IFERROR(AVERAGEIFS($C$2:$C32,$A$2:$A32,"&gt;="&amp;(A32-6),$A$2:$A32,"&lt;="&amp;A32),"")</f>
        <v/>
      </c>
    </row>
    <row r="33">
      <c r="A33" s="20" t="n">
        <v>46280</v>
      </c>
      <c r="B33" s="17" t="n"/>
      <c r="C33" s="18" t="n"/>
      <c r="D33" s="18" t="n"/>
      <c r="E33" s="18" t="n"/>
      <c r="F33" s="18" t="n"/>
      <c r="G33" s="18" t="n"/>
      <c r="H33" s="18" t="n"/>
      <c r="I33" s="18" t="n"/>
      <c r="J33" s="19">
        <f>IF(C33="","",C33-Targets!$B$12)</f>
        <v/>
      </c>
      <c r="K33" s="19">
        <f>IF(D33="","",D33-Targets!$B$13)</f>
        <v/>
      </c>
      <c r="L33" s="19">
        <f>IFERROR(AVERAGEIFS($B$2:$B33,$A$2:$A33,"&gt;="&amp;(A33-6),$A$2:$A33,"&lt;="&amp;A33),"")</f>
        <v/>
      </c>
      <c r="M33" s="19">
        <f>IFERROR(AVERAGEIFS($C$2:$C33,$A$2:$A33,"&gt;="&amp;(A33-6),$A$2:$A33,"&lt;="&amp;A33),"")</f>
        <v/>
      </c>
    </row>
    <row r="34">
      <c r="A34" s="20" t="n">
        <v>46281</v>
      </c>
      <c r="B34" s="17" t="n"/>
      <c r="C34" s="18" t="n"/>
      <c r="D34" s="18" t="n"/>
      <c r="E34" s="18" t="n"/>
      <c r="F34" s="18" t="n"/>
      <c r="G34" s="18" t="n"/>
      <c r="H34" s="18" t="n"/>
      <c r="I34" s="18" t="n"/>
      <c r="J34" s="19">
        <f>IF(C34="","",C34-Targets!$B$12)</f>
        <v/>
      </c>
      <c r="K34" s="19">
        <f>IF(D34="","",D34-Targets!$B$13)</f>
        <v/>
      </c>
      <c r="L34" s="19">
        <f>IFERROR(AVERAGEIFS($B$2:$B34,$A$2:$A34,"&gt;="&amp;(A34-6),$A$2:$A34,"&lt;="&amp;A34),"")</f>
        <v/>
      </c>
      <c r="M34" s="19">
        <f>IFERROR(AVERAGEIFS($C$2:$C34,$A$2:$A34,"&gt;="&amp;(A34-6),$A$2:$A34,"&lt;="&amp;A34),"")</f>
        <v/>
      </c>
    </row>
    <row r="35">
      <c r="A35" s="20" t="n">
        <v>46282</v>
      </c>
      <c r="B35" s="17" t="n"/>
      <c r="C35" s="18" t="n"/>
      <c r="D35" s="18" t="n"/>
      <c r="E35" s="18" t="n"/>
      <c r="F35" s="18" t="n"/>
      <c r="G35" s="18" t="n"/>
      <c r="H35" s="18" t="n"/>
      <c r="I35" s="18" t="n"/>
      <c r="J35" s="19">
        <f>IF(C35="","",C35-Targets!$B$12)</f>
        <v/>
      </c>
      <c r="K35" s="19">
        <f>IF(D35="","",D35-Targets!$B$13)</f>
        <v/>
      </c>
      <c r="L35" s="19">
        <f>IFERROR(AVERAGEIFS($B$2:$B35,$A$2:$A35,"&gt;="&amp;(A35-6),$A$2:$A35,"&lt;="&amp;A35),"")</f>
        <v/>
      </c>
      <c r="M35" s="19">
        <f>IFERROR(AVERAGEIFS($C$2:$C35,$A$2:$A35,"&gt;="&amp;(A35-6),$A$2:$A35,"&lt;="&amp;A35),"")</f>
        <v/>
      </c>
    </row>
    <row r="36">
      <c r="A36" s="20" t="n">
        <v>46283</v>
      </c>
      <c r="B36" s="17" t="n"/>
      <c r="C36" s="18" t="n"/>
      <c r="D36" s="18" t="n"/>
      <c r="E36" s="18" t="n"/>
      <c r="F36" s="18" t="n"/>
      <c r="G36" s="18" t="n"/>
      <c r="H36" s="18" t="n"/>
      <c r="I36" s="18" t="n"/>
      <c r="J36" s="19">
        <f>IF(C36="","",C36-Targets!$B$12)</f>
        <v/>
      </c>
      <c r="K36" s="19">
        <f>IF(D36="","",D36-Targets!$B$13)</f>
        <v/>
      </c>
      <c r="L36" s="19">
        <f>IFERROR(AVERAGEIFS($B$2:$B36,$A$2:$A36,"&gt;="&amp;(A36-6),$A$2:$A36,"&lt;="&amp;A36),"")</f>
        <v/>
      </c>
      <c r="M36" s="19">
        <f>IFERROR(AVERAGEIFS($C$2:$C36,$A$2:$A36,"&gt;="&amp;(A36-6),$A$2:$A36,"&lt;="&amp;A36),"")</f>
        <v/>
      </c>
    </row>
    <row r="37">
      <c r="A37" s="20" t="n">
        <v>46284</v>
      </c>
      <c r="B37" s="17" t="n"/>
      <c r="C37" s="18" t="n"/>
      <c r="D37" s="18" t="n"/>
      <c r="E37" s="18" t="n"/>
      <c r="F37" s="18" t="n"/>
      <c r="G37" s="18" t="n"/>
      <c r="H37" s="18" t="n"/>
      <c r="I37" s="18" t="n"/>
      <c r="J37" s="19">
        <f>IF(C37="","",C37-Targets!$B$12)</f>
        <v/>
      </c>
      <c r="K37" s="19">
        <f>IF(D37="","",D37-Targets!$B$13)</f>
        <v/>
      </c>
      <c r="L37" s="19">
        <f>IFERROR(AVERAGEIFS($B$2:$B37,$A$2:$A37,"&gt;="&amp;(A37-6),$A$2:$A37,"&lt;="&amp;A37),"")</f>
        <v/>
      </c>
      <c r="M37" s="19">
        <f>IFERROR(AVERAGEIFS($C$2:$C37,$A$2:$A37,"&gt;="&amp;(A37-6),$A$2:$A37,"&lt;="&amp;A37),"")</f>
        <v/>
      </c>
    </row>
    <row r="38">
      <c r="A38" s="20" t="n">
        <v>46285</v>
      </c>
      <c r="B38" s="17" t="n"/>
      <c r="C38" s="18" t="n"/>
      <c r="D38" s="18" t="n"/>
      <c r="E38" s="18" t="n"/>
      <c r="F38" s="18" t="n"/>
      <c r="G38" s="18" t="n"/>
      <c r="H38" s="18" t="n"/>
      <c r="I38" s="18" t="n"/>
      <c r="J38" s="19">
        <f>IF(C38="","",C38-Targets!$B$12)</f>
        <v/>
      </c>
      <c r="K38" s="19">
        <f>IF(D38="","",D38-Targets!$B$13)</f>
        <v/>
      </c>
      <c r="L38" s="19">
        <f>IFERROR(AVERAGEIFS($B$2:$B38,$A$2:$A38,"&gt;="&amp;(A38-6),$A$2:$A38,"&lt;="&amp;A38),"")</f>
        <v/>
      </c>
      <c r="M38" s="19">
        <f>IFERROR(AVERAGEIFS($C$2:$C38,$A$2:$A38,"&gt;="&amp;(A38-6),$A$2:$A38,"&lt;="&amp;A38),"")</f>
        <v/>
      </c>
    </row>
    <row r="39">
      <c r="A39" s="20" t="n">
        <v>46286</v>
      </c>
      <c r="B39" s="17" t="n"/>
      <c r="C39" s="18" t="n"/>
      <c r="D39" s="18" t="n"/>
      <c r="E39" s="18" t="n"/>
      <c r="F39" s="18" t="n"/>
      <c r="G39" s="18" t="n"/>
      <c r="H39" s="18" t="n"/>
      <c r="I39" s="18" t="n"/>
      <c r="J39" s="19">
        <f>IF(C39="","",C39-Targets!$B$12)</f>
        <v/>
      </c>
      <c r="K39" s="19">
        <f>IF(D39="","",D39-Targets!$B$13)</f>
        <v/>
      </c>
      <c r="L39" s="19">
        <f>IFERROR(AVERAGEIFS($B$2:$B39,$A$2:$A39,"&gt;="&amp;(A39-6),$A$2:$A39,"&lt;="&amp;A39),"")</f>
        <v/>
      </c>
      <c r="M39" s="19">
        <f>IFERROR(AVERAGEIFS($C$2:$C39,$A$2:$A39,"&gt;="&amp;(A39-6),$A$2:$A39,"&lt;="&amp;A39),"")</f>
        <v/>
      </c>
    </row>
    <row r="40">
      <c r="A40" s="20" t="n">
        <v>46287</v>
      </c>
      <c r="B40" s="17" t="n"/>
      <c r="C40" s="18" t="n"/>
      <c r="D40" s="18" t="n"/>
      <c r="E40" s="18" t="n"/>
      <c r="F40" s="18" t="n"/>
      <c r="G40" s="18" t="n"/>
      <c r="H40" s="18" t="n"/>
      <c r="I40" s="18" t="n"/>
      <c r="J40" s="19">
        <f>IF(C40="","",C40-Targets!$B$12)</f>
        <v/>
      </c>
      <c r="K40" s="19">
        <f>IF(D40="","",D40-Targets!$B$13)</f>
        <v/>
      </c>
      <c r="L40" s="19">
        <f>IFERROR(AVERAGEIFS($B$2:$B40,$A$2:$A40,"&gt;="&amp;(A40-6),$A$2:$A40,"&lt;="&amp;A40),"")</f>
        <v/>
      </c>
      <c r="M40" s="19">
        <f>IFERROR(AVERAGEIFS($C$2:$C40,$A$2:$A40,"&gt;="&amp;(A40-6),$A$2:$A40,"&lt;="&amp;A40),"")</f>
        <v/>
      </c>
    </row>
    <row r="41">
      <c r="A41" s="20" t="n">
        <v>46288</v>
      </c>
      <c r="B41" s="17" t="n"/>
      <c r="C41" s="18" t="n"/>
      <c r="D41" s="18" t="n"/>
      <c r="E41" s="18" t="n"/>
      <c r="F41" s="18" t="n"/>
      <c r="G41" s="18" t="n"/>
      <c r="H41" s="18" t="n"/>
      <c r="I41" s="18" t="n"/>
      <c r="J41" s="19">
        <f>IF(C41="","",C41-Targets!$B$12)</f>
        <v/>
      </c>
      <c r="K41" s="19">
        <f>IF(D41="","",D41-Targets!$B$13)</f>
        <v/>
      </c>
      <c r="L41" s="19">
        <f>IFERROR(AVERAGEIFS($B$2:$B41,$A$2:$A41,"&gt;="&amp;(A41-6),$A$2:$A41,"&lt;="&amp;A41),"")</f>
        <v/>
      </c>
      <c r="M41" s="19">
        <f>IFERROR(AVERAGEIFS($C$2:$C41,$A$2:$A41,"&gt;="&amp;(A41-6),$A$2:$A41,"&lt;="&amp;A41),"")</f>
        <v/>
      </c>
    </row>
    <row r="42">
      <c r="A42" s="20" t="n">
        <v>46289</v>
      </c>
      <c r="B42" s="17" t="n"/>
      <c r="C42" s="18" t="n"/>
      <c r="D42" s="18" t="n"/>
      <c r="E42" s="18" t="n"/>
      <c r="F42" s="18" t="n"/>
      <c r="G42" s="18" t="n"/>
      <c r="H42" s="18" t="n"/>
      <c r="I42" s="18" t="n"/>
      <c r="J42" s="19">
        <f>IF(C42="","",C42-Targets!$B$12)</f>
        <v/>
      </c>
      <c r="K42" s="19">
        <f>IF(D42="","",D42-Targets!$B$13)</f>
        <v/>
      </c>
      <c r="L42" s="19">
        <f>IFERROR(AVERAGEIFS($B$2:$B42,$A$2:$A42,"&gt;="&amp;(A42-6),$A$2:$A42,"&lt;="&amp;A42),"")</f>
        <v/>
      </c>
      <c r="M42" s="19">
        <f>IFERROR(AVERAGEIFS($C$2:$C42,$A$2:$A42,"&gt;="&amp;(A42-6),$A$2:$A42,"&lt;="&amp;A42),"")</f>
        <v/>
      </c>
    </row>
    <row r="43">
      <c r="A43" s="20" t="n">
        <v>46290</v>
      </c>
      <c r="B43" s="17" t="n"/>
      <c r="C43" s="18" t="n"/>
      <c r="D43" s="18" t="n"/>
      <c r="E43" s="18" t="n"/>
      <c r="F43" s="18" t="n"/>
      <c r="G43" s="18" t="n"/>
      <c r="H43" s="18" t="n"/>
      <c r="I43" s="18" t="n"/>
      <c r="J43" s="19">
        <f>IF(C43="","",C43-Targets!$B$12)</f>
        <v/>
      </c>
      <c r="K43" s="19">
        <f>IF(D43="","",D43-Targets!$B$13)</f>
        <v/>
      </c>
      <c r="L43" s="19">
        <f>IFERROR(AVERAGEIFS($B$2:$B43,$A$2:$A43,"&gt;="&amp;(A43-6),$A$2:$A43,"&lt;="&amp;A43),"")</f>
        <v/>
      </c>
      <c r="M43" s="19">
        <f>IFERROR(AVERAGEIFS($C$2:$C43,$A$2:$A43,"&gt;="&amp;(A43-6),$A$2:$A43,"&lt;="&amp;A43),"")</f>
        <v/>
      </c>
    </row>
    <row r="44">
      <c r="A44" s="20" t="n">
        <v>46291</v>
      </c>
      <c r="B44" s="17" t="n"/>
      <c r="C44" s="18" t="n"/>
      <c r="D44" s="18" t="n"/>
      <c r="E44" s="18" t="n"/>
      <c r="F44" s="18" t="n"/>
      <c r="G44" s="18" t="n"/>
      <c r="H44" s="18" t="n"/>
      <c r="I44" s="18" t="n"/>
      <c r="J44" s="19">
        <f>IF(C44="","",C44-Targets!$B$12)</f>
        <v/>
      </c>
      <c r="K44" s="19">
        <f>IF(D44="","",D44-Targets!$B$13)</f>
        <v/>
      </c>
      <c r="L44" s="19">
        <f>IFERROR(AVERAGEIFS($B$2:$B44,$A$2:$A44,"&gt;="&amp;(A44-6),$A$2:$A44,"&lt;="&amp;A44),"")</f>
        <v/>
      </c>
      <c r="M44" s="19">
        <f>IFERROR(AVERAGEIFS($C$2:$C44,$A$2:$A44,"&gt;="&amp;(A44-6),$A$2:$A44,"&lt;="&amp;A44),"")</f>
        <v/>
      </c>
    </row>
    <row r="45">
      <c r="A45" s="20" t="n">
        <v>46292</v>
      </c>
      <c r="B45" s="17" t="n"/>
      <c r="C45" s="18" t="n"/>
      <c r="D45" s="18" t="n"/>
      <c r="E45" s="18" t="n"/>
      <c r="F45" s="18" t="n"/>
      <c r="G45" s="18" t="n"/>
      <c r="H45" s="18" t="n"/>
      <c r="I45" s="18" t="n"/>
      <c r="J45" s="19">
        <f>IF(C45="","",C45-Targets!$B$12)</f>
        <v/>
      </c>
      <c r="K45" s="19">
        <f>IF(D45="","",D45-Targets!$B$13)</f>
        <v/>
      </c>
      <c r="L45" s="19">
        <f>IFERROR(AVERAGEIFS($B$2:$B45,$A$2:$A45,"&gt;="&amp;(A45-6),$A$2:$A45,"&lt;="&amp;A45),"")</f>
        <v/>
      </c>
      <c r="M45" s="19">
        <f>IFERROR(AVERAGEIFS($C$2:$C45,$A$2:$A45,"&gt;="&amp;(A45-6),$A$2:$A45,"&lt;="&amp;A45),"")</f>
        <v/>
      </c>
    </row>
    <row r="46">
      <c r="A46" s="20" t="n">
        <v>46293</v>
      </c>
      <c r="B46" s="17" t="n"/>
      <c r="C46" s="18" t="n"/>
      <c r="D46" s="18" t="n"/>
      <c r="E46" s="18" t="n"/>
      <c r="F46" s="18" t="n"/>
      <c r="G46" s="18" t="n"/>
      <c r="H46" s="18" t="n"/>
      <c r="I46" s="18" t="n"/>
      <c r="J46" s="19">
        <f>IF(C46="","",C46-Targets!$B$12)</f>
        <v/>
      </c>
      <c r="K46" s="19">
        <f>IF(D46="","",D46-Targets!$B$13)</f>
        <v/>
      </c>
      <c r="L46" s="19">
        <f>IFERROR(AVERAGEIFS($B$2:$B46,$A$2:$A46,"&gt;="&amp;(A46-6),$A$2:$A46,"&lt;="&amp;A46),"")</f>
        <v/>
      </c>
      <c r="M46" s="19">
        <f>IFERROR(AVERAGEIFS($C$2:$C46,$A$2:$A46,"&gt;="&amp;(A46-6),$A$2:$A46,"&lt;="&amp;A46),"")</f>
        <v/>
      </c>
    </row>
    <row r="47">
      <c r="A47" s="20" t="n">
        <v>46294</v>
      </c>
      <c r="B47" s="17" t="n"/>
      <c r="C47" s="18" t="n"/>
      <c r="D47" s="18" t="n"/>
      <c r="E47" s="18" t="n"/>
      <c r="F47" s="18" t="n"/>
      <c r="G47" s="18" t="n"/>
      <c r="H47" s="18" t="n"/>
      <c r="I47" s="18" t="n"/>
      <c r="J47" s="19">
        <f>IF(C47="","",C47-Targets!$B$12)</f>
        <v/>
      </c>
      <c r="K47" s="19">
        <f>IF(D47="","",D47-Targets!$B$13)</f>
        <v/>
      </c>
      <c r="L47" s="19">
        <f>IFERROR(AVERAGEIFS($B$2:$B47,$A$2:$A47,"&gt;="&amp;(A47-6),$A$2:$A47,"&lt;="&amp;A47),"")</f>
        <v/>
      </c>
      <c r="M47" s="19">
        <f>IFERROR(AVERAGEIFS($C$2:$C47,$A$2:$A47,"&gt;="&amp;(A47-6),$A$2:$A47,"&lt;="&amp;A47),"")</f>
        <v/>
      </c>
    </row>
    <row r="48">
      <c r="A48" s="20" t="n">
        <v>46295</v>
      </c>
      <c r="B48" s="17" t="n"/>
      <c r="C48" s="18" t="n"/>
      <c r="D48" s="18" t="n"/>
      <c r="E48" s="18" t="n"/>
      <c r="F48" s="18" t="n"/>
      <c r="G48" s="18" t="n"/>
      <c r="H48" s="18" t="n"/>
      <c r="I48" s="18" t="n"/>
      <c r="J48" s="19">
        <f>IF(C48="","",C48-Targets!$B$12)</f>
        <v/>
      </c>
      <c r="K48" s="19">
        <f>IF(D48="","",D48-Targets!$B$13)</f>
        <v/>
      </c>
      <c r="L48" s="19">
        <f>IFERROR(AVERAGEIFS($B$2:$B48,$A$2:$A48,"&gt;="&amp;(A48-6),$A$2:$A48,"&lt;="&amp;A48),"")</f>
        <v/>
      </c>
      <c r="M48" s="19">
        <f>IFERROR(AVERAGEIFS($C$2:$C48,$A$2:$A48,"&gt;="&amp;(A48-6),$A$2:$A48,"&lt;="&amp;A48),"")</f>
        <v/>
      </c>
    </row>
    <row r="49">
      <c r="A49" s="20" t="n">
        <v>46296</v>
      </c>
      <c r="B49" s="17" t="n"/>
      <c r="C49" s="18" t="n"/>
      <c r="D49" s="18" t="n"/>
      <c r="E49" s="18" t="n"/>
      <c r="F49" s="18" t="n"/>
      <c r="G49" s="18" t="n"/>
      <c r="H49" s="18" t="n"/>
      <c r="I49" s="18" t="n"/>
      <c r="J49" s="19">
        <f>IF(C49="","",C49-Targets!$B$12)</f>
        <v/>
      </c>
      <c r="K49" s="19">
        <f>IF(D49="","",D49-Targets!$B$13)</f>
        <v/>
      </c>
      <c r="L49" s="19">
        <f>IFERROR(AVERAGEIFS($B$2:$B49,$A$2:$A49,"&gt;="&amp;(A49-6),$A$2:$A49,"&lt;="&amp;A49),"")</f>
        <v/>
      </c>
      <c r="M49" s="19">
        <f>IFERROR(AVERAGEIFS($C$2:$C49,$A$2:$A49,"&gt;="&amp;(A49-6),$A$2:$A49,"&lt;="&amp;A49),"")</f>
        <v/>
      </c>
    </row>
    <row r="50">
      <c r="A50" s="20" t="n">
        <v>46297</v>
      </c>
      <c r="B50" s="17" t="n"/>
      <c r="C50" s="18" t="n"/>
      <c r="D50" s="18" t="n"/>
      <c r="E50" s="18" t="n"/>
      <c r="F50" s="18" t="n"/>
      <c r="G50" s="18" t="n"/>
      <c r="H50" s="18" t="n"/>
      <c r="I50" s="18" t="n"/>
      <c r="J50" s="19">
        <f>IF(C50="","",C50-Targets!$B$12)</f>
        <v/>
      </c>
      <c r="K50" s="19">
        <f>IF(D50="","",D50-Targets!$B$13)</f>
        <v/>
      </c>
      <c r="L50" s="19">
        <f>IFERROR(AVERAGEIFS($B$2:$B50,$A$2:$A50,"&gt;="&amp;(A50-6),$A$2:$A50,"&lt;="&amp;A50),"")</f>
        <v/>
      </c>
      <c r="M50" s="19">
        <f>IFERROR(AVERAGEIFS($C$2:$C50,$A$2:$A50,"&gt;="&amp;(A50-6),$A$2:$A50,"&lt;="&amp;A50),"")</f>
        <v/>
      </c>
    </row>
    <row r="51">
      <c r="A51" s="20" t="n">
        <v>46298</v>
      </c>
      <c r="B51" s="17" t="n"/>
      <c r="C51" s="18" t="n"/>
      <c r="D51" s="18" t="n"/>
      <c r="E51" s="18" t="n"/>
      <c r="F51" s="18" t="n"/>
      <c r="G51" s="18" t="n"/>
      <c r="H51" s="18" t="n"/>
      <c r="I51" s="18" t="n"/>
      <c r="J51" s="19">
        <f>IF(C51="","",C51-Targets!$B$12)</f>
        <v/>
      </c>
      <c r="K51" s="19">
        <f>IF(D51="","",D51-Targets!$B$13)</f>
        <v/>
      </c>
      <c r="L51" s="19">
        <f>IFERROR(AVERAGEIFS($B$2:$B51,$A$2:$A51,"&gt;="&amp;(A51-6),$A$2:$A51,"&lt;="&amp;A51),"")</f>
        <v/>
      </c>
      <c r="M51" s="19">
        <f>IFERROR(AVERAGEIFS($C$2:$C51,$A$2:$A51,"&gt;="&amp;(A51-6),$A$2:$A51,"&lt;="&amp;A51),"")</f>
        <v/>
      </c>
    </row>
    <row r="52">
      <c r="A52" s="20" t="n">
        <v>46299</v>
      </c>
      <c r="B52" s="17" t="n"/>
      <c r="C52" s="18" t="n"/>
      <c r="D52" s="18" t="n"/>
      <c r="E52" s="18" t="n"/>
      <c r="F52" s="18" t="n"/>
      <c r="G52" s="18" t="n"/>
      <c r="H52" s="18" t="n"/>
      <c r="I52" s="18" t="n"/>
      <c r="J52" s="19">
        <f>IF(C52="","",C52-Targets!$B$12)</f>
        <v/>
      </c>
      <c r="K52" s="19">
        <f>IF(D52="","",D52-Targets!$B$13)</f>
        <v/>
      </c>
      <c r="L52" s="19">
        <f>IFERROR(AVERAGEIFS($B$2:$B52,$A$2:$A52,"&gt;="&amp;(A52-6),$A$2:$A52,"&lt;="&amp;A52),"")</f>
        <v/>
      </c>
      <c r="M52" s="19">
        <f>IFERROR(AVERAGEIFS($C$2:$C52,$A$2:$A52,"&gt;="&amp;(A52-6),$A$2:$A52,"&lt;="&amp;A52),"")</f>
        <v/>
      </c>
    </row>
    <row r="53">
      <c r="A53" s="20" t="n">
        <v>46300</v>
      </c>
      <c r="B53" s="17" t="n"/>
      <c r="C53" s="18" t="n"/>
      <c r="D53" s="18" t="n"/>
      <c r="E53" s="18" t="n"/>
      <c r="F53" s="18" t="n"/>
      <c r="G53" s="18" t="n"/>
      <c r="H53" s="18" t="n"/>
      <c r="I53" s="18" t="n"/>
      <c r="J53" s="19">
        <f>IF(C53="","",C53-Targets!$B$12)</f>
        <v/>
      </c>
      <c r="K53" s="19">
        <f>IF(D53="","",D53-Targets!$B$13)</f>
        <v/>
      </c>
      <c r="L53" s="19">
        <f>IFERROR(AVERAGEIFS($B$2:$B53,$A$2:$A53,"&gt;="&amp;(A53-6),$A$2:$A53,"&lt;="&amp;A53),"")</f>
        <v/>
      </c>
      <c r="M53" s="19">
        <f>IFERROR(AVERAGEIFS($C$2:$C53,$A$2:$A53,"&gt;="&amp;(A53-6),$A$2:$A53,"&lt;="&amp;A53),"")</f>
        <v/>
      </c>
    </row>
    <row r="54">
      <c r="A54" s="20" t="n">
        <v>46301</v>
      </c>
      <c r="B54" s="17" t="n"/>
      <c r="C54" s="18" t="n"/>
      <c r="D54" s="18" t="n"/>
      <c r="E54" s="18" t="n"/>
      <c r="F54" s="18" t="n"/>
      <c r="G54" s="18" t="n"/>
      <c r="H54" s="18" t="n"/>
      <c r="I54" s="18" t="n"/>
      <c r="J54" s="19">
        <f>IF(C54="","",C54-Targets!$B$12)</f>
        <v/>
      </c>
      <c r="K54" s="19">
        <f>IF(D54="","",D54-Targets!$B$13)</f>
        <v/>
      </c>
      <c r="L54" s="19">
        <f>IFERROR(AVERAGEIFS($B$2:$B54,$A$2:$A54,"&gt;="&amp;(A54-6),$A$2:$A54,"&lt;="&amp;A54),"")</f>
        <v/>
      </c>
      <c r="M54" s="19">
        <f>IFERROR(AVERAGEIFS($C$2:$C54,$A$2:$A54,"&gt;="&amp;(A54-6),$A$2:$A54,"&lt;="&amp;A54),"")</f>
        <v/>
      </c>
    </row>
    <row r="55">
      <c r="A55" s="20" t="n">
        <v>46302</v>
      </c>
      <c r="B55" s="17" t="n"/>
      <c r="C55" s="18" t="n"/>
      <c r="D55" s="18" t="n"/>
      <c r="E55" s="18" t="n"/>
      <c r="F55" s="18" t="n"/>
      <c r="G55" s="18" t="n"/>
      <c r="H55" s="18" t="n"/>
      <c r="I55" s="18" t="n"/>
      <c r="J55" s="19">
        <f>IF(C55="","",C55-Targets!$B$12)</f>
        <v/>
      </c>
      <c r="K55" s="19">
        <f>IF(D55="","",D55-Targets!$B$13)</f>
        <v/>
      </c>
      <c r="L55" s="19">
        <f>IFERROR(AVERAGEIFS($B$2:$B55,$A$2:$A55,"&gt;="&amp;(A55-6),$A$2:$A55,"&lt;="&amp;A55),"")</f>
        <v/>
      </c>
      <c r="M55" s="19">
        <f>IFERROR(AVERAGEIFS($C$2:$C55,$A$2:$A55,"&gt;="&amp;(A55-6),$A$2:$A55,"&lt;="&amp;A55),"")</f>
        <v/>
      </c>
    </row>
    <row r="56">
      <c r="A56" s="20" t="n">
        <v>46303</v>
      </c>
      <c r="B56" s="17" t="n"/>
      <c r="C56" s="18" t="n"/>
      <c r="D56" s="18" t="n"/>
      <c r="E56" s="18" t="n"/>
      <c r="F56" s="18" t="n"/>
      <c r="G56" s="18" t="n"/>
      <c r="H56" s="18" t="n"/>
      <c r="I56" s="18" t="n"/>
      <c r="J56" s="19">
        <f>IF(C56="","",C56-Targets!$B$12)</f>
        <v/>
      </c>
      <c r="K56" s="19">
        <f>IF(D56="","",D56-Targets!$B$13)</f>
        <v/>
      </c>
      <c r="L56" s="19">
        <f>IFERROR(AVERAGEIFS($B$2:$B56,$A$2:$A56,"&gt;="&amp;(A56-6),$A$2:$A56,"&lt;="&amp;A56),"")</f>
        <v/>
      </c>
      <c r="M56" s="19">
        <f>IFERROR(AVERAGEIFS($C$2:$C56,$A$2:$A56,"&gt;="&amp;(A56-6),$A$2:$A56,"&lt;="&amp;A56),"")</f>
        <v/>
      </c>
    </row>
    <row r="57">
      <c r="A57" s="20" t="n">
        <v>46304</v>
      </c>
      <c r="B57" s="17" t="n"/>
      <c r="C57" s="18" t="n"/>
      <c r="D57" s="18" t="n"/>
      <c r="E57" s="18" t="n"/>
      <c r="F57" s="18" t="n"/>
      <c r="G57" s="18" t="n"/>
      <c r="H57" s="18" t="n"/>
      <c r="I57" s="18" t="n"/>
      <c r="J57" s="19">
        <f>IF(C57="","",C57-Targets!$B$12)</f>
        <v/>
      </c>
      <c r="K57" s="19">
        <f>IF(D57="","",D57-Targets!$B$13)</f>
        <v/>
      </c>
      <c r="L57" s="19">
        <f>IFERROR(AVERAGEIFS($B$2:$B57,$A$2:$A57,"&gt;="&amp;(A57-6),$A$2:$A57,"&lt;="&amp;A57),"")</f>
        <v/>
      </c>
      <c r="M57" s="19">
        <f>IFERROR(AVERAGEIFS($C$2:$C57,$A$2:$A57,"&gt;="&amp;(A57-6),$A$2:$A57,"&lt;="&amp;A57),"")</f>
        <v/>
      </c>
    </row>
    <row r="58">
      <c r="A58" s="20" t="n">
        <v>46305</v>
      </c>
      <c r="B58" s="17" t="n"/>
      <c r="C58" s="18" t="n"/>
      <c r="D58" s="18" t="n"/>
      <c r="E58" s="18" t="n"/>
      <c r="F58" s="18" t="n"/>
      <c r="G58" s="18" t="n"/>
      <c r="H58" s="18" t="n"/>
      <c r="I58" s="18" t="n"/>
      <c r="J58" s="19">
        <f>IF(C58="","",C58-Targets!$B$12)</f>
        <v/>
      </c>
      <c r="K58" s="19">
        <f>IF(D58="","",D58-Targets!$B$13)</f>
        <v/>
      </c>
      <c r="L58" s="19">
        <f>IFERROR(AVERAGEIFS($B$2:$B58,$A$2:$A58,"&gt;="&amp;(A58-6),$A$2:$A58,"&lt;="&amp;A58),"")</f>
        <v/>
      </c>
      <c r="M58" s="19">
        <f>IFERROR(AVERAGEIFS($C$2:$C58,$A$2:$A58,"&gt;="&amp;(A58-6),$A$2:$A58,"&lt;="&amp;A58),"")</f>
        <v/>
      </c>
    </row>
    <row r="59">
      <c r="A59" s="20" t="n">
        <v>46306</v>
      </c>
      <c r="B59" s="17" t="n"/>
      <c r="C59" s="18" t="n"/>
      <c r="D59" s="18" t="n"/>
      <c r="E59" s="18" t="n"/>
      <c r="F59" s="18" t="n"/>
      <c r="G59" s="18" t="n"/>
      <c r="H59" s="18" t="n"/>
      <c r="I59" s="18" t="n"/>
      <c r="J59" s="19">
        <f>IF(C59="","",C59-Targets!$B$12)</f>
        <v/>
      </c>
      <c r="K59" s="19">
        <f>IF(D59="","",D59-Targets!$B$13)</f>
        <v/>
      </c>
      <c r="L59" s="19">
        <f>IFERROR(AVERAGEIFS($B$2:$B59,$A$2:$A59,"&gt;="&amp;(A59-6),$A$2:$A59,"&lt;="&amp;A59),"")</f>
        <v/>
      </c>
      <c r="M59" s="19">
        <f>IFERROR(AVERAGEIFS($C$2:$C59,$A$2:$A59,"&gt;="&amp;(A59-6),$A$2:$A59,"&lt;="&amp;A59),"")</f>
        <v/>
      </c>
    </row>
    <row r="60">
      <c r="A60" s="20" t="n">
        <v>46307</v>
      </c>
      <c r="B60" s="17" t="n"/>
      <c r="C60" s="18" t="n"/>
      <c r="D60" s="18" t="n"/>
      <c r="E60" s="18" t="n"/>
      <c r="F60" s="18" t="n"/>
      <c r="G60" s="18" t="n"/>
      <c r="H60" s="18" t="n"/>
      <c r="I60" s="18" t="n"/>
      <c r="J60" s="19">
        <f>IF(C60="","",C60-Targets!$B$12)</f>
        <v/>
      </c>
      <c r="K60" s="19">
        <f>IF(D60="","",D60-Targets!$B$13)</f>
        <v/>
      </c>
      <c r="L60" s="19">
        <f>IFERROR(AVERAGEIFS($B$2:$B60,$A$2:$A60,"&gt;="&amp;(A60-6),$A$2:$A60,"&lt;="&amp;A60),"")</f>
        <v/>
      </c>
      <c r="M60" s="19">
        <f>IFERROR(AVERAGEIFS($C$2:$C60,$A$2:$A60,"&gt;="&amp;(A60-6),$A$2:$A60,"&lt;="&amp;A60),"")</f>
        <v/>
      </c>
    </row>
    <row r="61">
      <c r="A61" s="20" t="n">
        <v>46308</v>
      </c>
      <c r="B61" s="17" t="n"/>
      <c r="C61" s="18" t="n"/>
      <c r="D61" s="18" t="n"/>
      <c r="E61" s="18" t="n"/>
      <c r="F61" s="18" t="n"/>
      <c r="G61" s="18" t="n"/>
      <c r="H61" s="18" t="n"/>
      <c r="I61" s="18" t="n"/>
      <c r="J61" s="19">
        <f>IF(C61="","",C61-Targets!$B$12)</f>
        <v/>
      </c>
      <c r="K61" s="19">
        <f>IF(D61="","",D61-Targets!$B$13)</f>
        <v/>
      </c>
      <c r="L61" s="19">
        <f>IFERROR(AVERAGEIFS($B$2:$B61,$A$2:$A61,"&gt;="&amp;(A61-6),$A$2:$A61,"&lt;="&amp;A61),"")</f>
        <v/>
      </c>
      <c r="M61" s="19">
        <f>IFERROR(AVERAGEIFS($C$2:$C61,$A$2:$A61,"&gt;="&amp;(A61-6),$A$2:$A61,"&lt;="&amp;A61),"")</f>
        <v/>
      </c>
    </row>
    <row r="62">
      <c r="A62" s="20" t="n">
        <v>46309</v>
      </c>
      <c r="B62" s="17" t="n"/>
      <c r="C62" s="18" t="n"/>
      <c r="D62" s="18" t="n"/>
      <c r="E62" s="18" t="n"/>
      <c r="F62" s="18" t="n"/>
      <c r="G62" s="18" t="n"/>
      <c r="H62" s="18" t="n"/>
      <c r="I62" s="18" t="n"/>
      <c r="J62" s="19">
        <f>IF(C62="","",C62-Targets!$B$12)</f>
        <v/>
      </c>
      <c r="K62" s="19">
        <f>IF(D62="","",D62-Targets!$B$13)</f>
        <v/>
      </c>
      <c r="L62" s="19">
        <f>IFERROR(AVERAGEIFS($B$2:$B62,$A$2:$A62,"&gt;="&amp;(A62-6),$A$2:$A62,"&lt;="&amp;A62),"")</f>
        <v/>
      </c>
      <c r="M62" s="19">
        <f>IFERROR(AVERAGEIFS($C$2:$C62,$A$2:$A62,"&gt;="&amp;(A62-6),$A$2:$A62,"&lt;="&amp;A62),"")</f>
        <v/>
      </c>
    </row>
    <row r="63">
      <c r="A63" s="20" t="n">
        <v>46310</v>
      </c>
      <c r="B63" s="17" t="n"/>
      <c r="C63" s="18" t="n"/>
      <c r="D63" s="18" t="n"/>
      <c r="E63" s="18" t="n"/>
      <c r="F63" s="18" t="n"/>
      <c r="G63" s="18" t="n"/>
      <c r="H63" s="18" t="n"/>
      <c r="I63" s="18" t="n"/>
      <c r="J63" s="19">
        <f>IF(C63="","",C63-Targets!$B$12)</f>
        <v/>
      </c>
      <c r="K63" s="19">
        <f>IF(D63="","",D63-Targets!$B$13)</f>
        <v/>
      </c>
      <c r="L63" s="19">
        <f>IFERROR(AVERAGEIFS($B$2:$B63,$A$2:$A63,"&gt;="&amp;(A63-6),$A$2:$A63,"&lt;="&amp;A63),"")</f>
        <v/>
      </c>
      <c r="M63" s="19">
        <f>IFERROR(AVERAGEIFS($C$2:$C63,$A$2:$A63,"&gt;="&amp;(A63-6),$A$2:$A63,"&lt;="&amp;A63),"")</f>
        <v/>
      </c>
    </row>
    <row r="64">
      <c r="A64" s="20" t="n">
        <v>46311</v>
      </c>
      <c r="B64" s="17" t="n"/>
      <c r="C64" s="18" t="n"/>
      <c r="D64" s="18" t="n"/>
      <c r="E64" s="18" t="n"/>
      <c r="F64" s="18" t="n"/>
      <c r="G64" s="18" t="n"/>
      <c r="H64" s="18" t="n"/>
      <c r="I64" s="18" t="n"/>
      <c r="J64" s="19">
        <f>IF(C64="","",C64-Targets!$B$12)</f>
        <v/>
      </c>
      <c r="K64" s="19">
        <f>IF(D64="","",D64-Targets!$B$13)</f>
        <v/>
      </c>
      <c r="L64" s="19">
        <f>IFERROR(AVERAGEIFS($B$2:$B64,$A$2:$A64,"&gt;="&amp;(A64-6),$A$2:$A64,"&lt;="&amp;A64),"")</f>
        <v/>
      </c>
      <c r="M64" s="19">
        <f>IFERROR(AVERAGEIFS($C$2:$C64,$A$2:$A64,"&gt;="&amp;(A64-6),$A$2:$A64,"&lt;="&amp;A64),"")</f>
        <v/>
      </c>
    </row>
    <row r="65">
      <c r="A65" s="20" t="n">
        <v>46312</v>
      </c>
      <c r="B65" s="17" t="n"/>
      <c r="C65" s="18" t="n"/>
      <c r="D65" s="18" t="n"/>
      <c r="E65" s="18" t="n"/>
      <c r="F65" s="18" t="n"/>
      <c r="G65" s="18" t="n"/>
      <c r="H65" s="18" t="n"/>
      <c r="I65" s="18" t="n"/>
      <c r="J65" s="19">
        <f>IF(C65="","",C65-Targets!$B$12)</f>
        <v/>
      </c>
      <c r="K65" s="19">
        <f>IF(D65="","",D65-Targets!$B$13)</f>
        <v/>
      </c>
      <c r="L65" s="19">
        <f>IFERROR(AVERAGEIFS($B$2:$B65,$A$2:$A65,"&gt;="&amp;(A65-6),$A$2:$A65,"&lt;="&amp;A65),"")</f>
        <v/>
      </c>
      <c r="M65" s="19">
        <f>IFERROR(AVERAGEIFS($C$2:$C65,$A$2:$A65,"&gt;="&amp;(A65-6),$A$2:$A65,"&lt;="&amp;A65),"")</f>
        <v/>
      </c>
    </row>
    <row r="66">
      <c r="A66" s="20" t="n">
        <v>46313</v>
      </c>
      <c r="B66" s="17" t="n"/>
      <c r="C66" s="18" t="n"/>
      <c r="D66" s="18" t="n"/>
      <c r="E66" s="18" t="n"/>
      <c r="F66" s="18" t="n"/>
      <c r="G66" s="18" t="n"/>
      <c r="H66" s="18" t="n"/>
      <c r="I66" s="18" t="n"/>
      <c r="J66" s="19">
        <f>IF(C66="","",C66-Targets!$B$12)</f>
        <v/>
      </c>
      <c r="K66" s="19">
        <f>IF(D66="","",D66-Targets!$B$13)</f>
        <v/>
      </c>
      <c r="L66" s="19">
        <f>IFERROR(AVERAGEIFS($B$2:$B66,$A$2:$A66,"&gt;="&amp;(A66-6),$A$2:$A66,"&lt;="&amp;A66),"")</f>
        <v/>
      </c>
      <c r="M66" s="19">
        <f>IFERROR(AVERAGEIFS($C$2:$C66,$A$2:$A66,"&gt;="&amp;(A66-6),$A$2:$A66,"&lt;="&amp;A66),"")</f>
        <v/>
      </c>
    </row>
    <row r="67">
      <c r="A67" s="20" t="n">
        <v>46314</v>
      </c>
      <c r="B67" s="17" t="n"/>
      <c r="C67" s="18" t="n"/>
      <c r="D67" s="18" t="n"/>
      <c r="E67" s="18" t="n"/>
      <c r="F67" s="18" t="n"/>
      <c r="G67" s="18" t="n"/>
      <c r="H67" s="18" t="n"/>
      <c r="I67" s="18" t="n"/>
      <c r="J67" s="19">
        <f>IF(C67="","",C67-Targets!$B$12)</f>
        <v/>
      </c>
      <c r="K67" s="19">
        <f>IF(D67="","",D67-Targets!$B$13)</f>
        <v/>
      </c>
      <c r="L67" s="19">
        <f>IFERROR(AVERAGEIFS($B$2:$B67,$A$2:$A67,"&gt;="&amp;(A67-6),$A$2:$A67,"&lt;="&amp;A67),"")</f>
        <v/>
      </c>
      <c r="M67" s="19">
        <f>IFERROR(AVERAGEIFS($C$2:$C67,$A$2:$A67,"&gt;="&amp;(A67-6),$A$2:$A67,"&lt;="&amp;A67),"")</f>
        <v/>
      </c>
    </row>
    <row r="68">
      <c r="A68" s="20" t="n">
        <v>46315</v>
      </c>
      <c r="B68" s="17" t="n"/>
      <c r="C68" s="18" t="n"/>
      <c r="D68" s="18" t="n"/>
      <c r="E68" s="18" t="n"/>
      <c r="F68" s="18" t="n"/>
      <c r="G68" s="18" t="n"/>
      <c r="H68" s="18" t="n"/>
      <c r="I68" s="18" t="n"/>
      <c r="J68" s="19">
        <f>IF(C68="","",C68-Targets!$B$12)</f>
        <v/>
      </c>
      <c r="K68" s="19">
        <f>IF(D68="","",D68-Targets!$B$13)</f>
        <v/>
      </c>
      <c r="L68" s="19">
        <f>IFERROR(AVERAGEIFS($B$2:$B68,$A$2:$A68,"&gt;="&amp;(A68-6),$A$2:$A68,"&lt;="&amp;A68),"")</f>
        <v/>
      </c>
      <c r="M68" s="19">
        <f>IFERROR(AVERAGEIFS($C$2:$C68,$A$2:$A68,"&gt;="&amp;(A68-6),$A$2:$A68,"&lt;="&amp;A68),"")</f>
        <v/>
      </c>
    </row>
    <row r="69">
      <c r="A69" s="20" t="n">
        <v>46316</v>
      </c>
      <c r="B69" s="17" t="n"/>
      <c r="C69" s="18" t="n"/>
      <c r="D69" s="18" t="n"/>
      <c r="E69" s="18" t="n"/>
      <c r="F69" s="18" t="n"/>
      <c r="G69" s="18" t="n"/>
      <c r="H69" s="18" t="n"/>
      <c r="I69" s="18" t="n"/>
      <c r="J69" s="19">
        <f>IF(C69="","",C69-Targets!$B$12)</f>
        <v/>
      </c>
      <c r="K69" s="19">
        <f>IF(D69="","",D69-Targets!$B$13)</f>
        <v/>
      </c>
      <c r="L69" s="19">
        <f>IFERROR(AVERAGEIFS($B$2:$B69,$A$2:$A69,"&gt;="&amp;(A69-6),$A$2:$A69,"&lt;="&amp;A69),"")</f>
        <v/>
      </c>
      <c r="M69" s="19">
        <f>IFERROR(AVERAGEIFS($C$2:$C69,$A$2:$A69,"&gt;="&amp;(A69-6),$A$2:$A69,"&lt;="&amp;A69),"")</f>
        <v/>
      </c>
    </row>
    <row r="70">
      <c r="A70" s="20" t="n">
        <v>46317</v>
      </c>
      <c r="B70" s="17" t="n"/>
      <c r="C70" s="18" t="n"/>
      <c r="D70" s="18" t="n"/>
      <c r="E70" s="18" t="n"/>
      <c r="F70" s="18" t="n"/>
      <c r="G70" s="18" t="n"/>
      <c r="H70" s="18" t="n"/>
      <c r="I70" s="18" t="n"/>
      <c r="J70" s="19">
        <f>IF(C70="","",C70-Targets!$B$12)</f>
        <v/>
      </c>
      <c r="K70" s="19">
        <f>IF(D70="","",D70-Targets!$B$13)</f>
        <v/>
      </c>
      <c r="L70" s="19">
        <f>IFERROR(AVERAGEIFS($B$2:$B70,$A$2:$A70,"&gt;="&amp;(A70-6),$A$2:$A70,"&lt;="&amp;A70),"")</f>
        <v/>
      </c>
      <c r="M70" s="19">
        <f>IFERROR(AVERAGEIFS($C$2:$C70,$A$2:$A70,"&gt;="&amp;(A70-6),$A$2:$A70,"&lt;="&amp;A70),"")</f>
        <v/>
      </c>
    </row>
    <row r="71">
      <c r="A71" s="20" t="n">
        <v>46318</v>
      </c>
      <c r="B71" s="17" t="n"/>
      <c r="C71" s="18" t="n"/>
      <c r="D71" s="18" t="n"/>
      <c r="E71" s="18" t="n"/>
      <c r="F71" s="18" t="n"/>
      <c r="G71" s="18" t="n"/>
      <c r="H71" s="18" t="n"/>
      <c r="I71" s="18" t="n"/>
      <c r="J71" s="19">
        <f>IF(C71="","",C71-Targets!$B$12)</f>
        <v/>
      </c>
      <c r="K71" s="19">
        <f>IF(D71="","",D71-Targets!$B$13)</f>
        <v/>
      </c>
      <c r="L71" s="19">
        <f>IFERROR(AVERAGEIFS($B$2:$B71,$A$2:$A71,"&gt;="&amp;(A71-6),$A$2:$A71,"&lt;="&amp;A71),"")</f>
        <v/>
      </c>
      <c r="M71" s="19">
        <f>IFERROR(AVERAGEIFS($C$2:$C71,$A$2:$A71,"&gt;="&amp;(A71-6),$A$2:$A71,"&lt;="&amp;A71),"")</f>
        <v/>
      </c>
    </row>
    <row r="72">
      <c r="A72" s="20" t="n">
        <v>46319</v>
      </c>
      <c r="B72" s="17" t="n"/>
      <c r="C72" s="18" t="n"/>
      <c r="D72" s="18" t="n"/>
      <c r="E72" s="18" t="n"/>
      <c r="F72" s="18" t="n"/>
      <c r="G72" s="18" t="n"/>
      <c r="H72" s="18" t="n"/>
      <c r="I72" s="18" t="n"/>
      <c r="J72" s="19">
        <f>IF(C72="","",C72-Targets!$B$12)</f>
        <v/>
      </c>
      <c r="K72" s="19">
        <f>IF(D72="","",D72-Targets!$B$13)</f>
        <v/>
      </c>
      <c r="L72" s="19">
        <f>IFERROR(AVERAGEIFS($B$2:$B72,$A$2:$A72,"&gt;="&amp;(A72-6),$A$2:$A72,"&lt;="&amp;A72),"")</f>
        <v/>
      </c>
      <c r="M72" s="19">
        <f>IFERROR(AVERAGEIFS($C$2:$C72,$A$2:$A72,"&gt;="&amp;(A72-6),$A$2:$A72,"&lt;="&amp;A72),"")</f>
        <v/>
      </c>
    </row>
    <row r="73">
      <c r="A73" s="20" t="n">
        <v>46320</v>
      </c>
      <c r="B73" s="17" t="n"/>
      <c r="C73" s="18" t="n"/>
      <c r="D73" s="18" t="n"/>
      <c r="E73" s="18" t="n"/>
      <c r="F73" s="18" t="n"/>
      <c r="G73" s="18" t="n"/>
      <c r="H73" s="18" t="n"/>
      <c r="I73" s="18" t="n"/>
      <c r="J73" s="19">
        <f>IF(C73="","",C73-Targets!$B$12)</f>
        <v/>
      </c>
      <c r="K73" s="19">
        <f>IF(D73="","",D73-Targets!$B$13)</f>
        <v/>
      </c>
      <c r="L73" s="19">
        <f>IFERROR(AVERAGEIFS($B$2:$B73,$A$2:$A73,"&gt;="&amp;(A73-6),$A$2:$A73,"&lt;="&amp;A73),"")</f>
        <v/>
      </c>
      <c r="M73" s="19">
        <f>IFERROR(AVERAGEIFS($C$2:$C73,$A$2:$A73,"&gt;="&amp;(A73-6),$A$2:$A73,"&lt;="&amp;A73),"")</f>
        <v/>
      </c>
    </row>
    <row r="74">
      <c r="A74" s="20" t="n">
        <v>46321</v>
      </c>
      <c r="B74" s="17" t="n"/>
      <c r="C74" s="18" t="n"/>
      <c r="D74" s="18" t="n"/>
      <c r="E74" s="18" t="n"/>
      <c r="F74" s="18" t="n"/>
      <c r="G74" s="18" t="n"/>
      <c r="H74" s="18" t="n"/>
      <c r="I74" s="18" t="n"/>
      <c r="J74" s="19">
        <f>IF(C74="","",C74-Targets!$B$12)</f>
        <v/>
      </c>
      <c r="K74" s="19">
        <f>IF(D74="","",D74-Targets!$B$13)</f>
        <v/>
      </c>
      <c r="L74" s="19">
        <f>IFERROR(AVERAGEIFS($B$2:$B74,$A$2:$A74,"&gt;="&amp;(A74-6),$A$2:$A74,"&lt;="&amp;A74),"")</f>
        <v/>
      </c>
      <c r="M74" s="19">
        <f>IFERROR(AVERAGEIFS($C$2:$C74,$A$2:$A74,"&gt;="&amp;(A74-6),$A$2:$A74,"&lt;="&amp;A74),"")</f>
        <v/>
      </c>
    </row>
    <row r="75">
      <c r="A75" s="20" t="n">
        <v>46322</v>
      </c>
      <c r="B75" s="17" t="n"/>
      <c r="C75" s="18" t="n"/>
      <c r="D75" s="18" t="n"/>
      <c r="E75" s="18" t="n"/>
      <c r="F75" s="18" t="n"/>
      <c r="G75" s="18" t="n"/>
      <c r="H75" s="18" t="n"/>
      <c r="I75" s="18" t="n"/>
      <c r="J75" s="19">
        <f>IF(C75="","",C75-Targets!$B$12)</f>
        <v/>
      </c>
      <c r="K75" s="19">
        <f>IF(D75="","",D75-Targets!$B$13)</f>
        <v/>
      </c>
      <c r="L75" s="19">
        <f>IFERROR(AVERAGEIFS($B$2:$B75,$A$2:$A75,"&gt;="&amp;(A75-6),$A$2:$A75,"&lt;="&amp;A75),"")</f>
        <v/>
      </c>
      <c r="M75" s="19">
        <f>IFERROR(AVERAGEIFS($C$2:$C75,$A$2:$A75,"&gt;="&amp;(A75-6),$A$2:$A75,"&lt;="&amp;A75),"")</f>
        <v/>
      </c>
    </row>
    <row r="76">
      <c r="A76" s="20" t="n">
        <v>46323</v>
      </c>
      <c r="B76" s="17" t="n"/>
      <c r="C76" s="18" t="n"/>
      <c r="D76" s="18" t="n"/>
      <c r="E76" s="18" t="n"/>
      <c r="F76" s="18" t="n"/>
      <c r="G76" s="18" t="n"/>
      <c r="H76" s="18" t="n"/>
      <c r="I76" s="18" t="n"/>
      <c r="J76" s="19">
        <f>IF(C76="","",C76-Targets!$B$12)</f>
        <v/>
      </c>
      <c r="K76" s="19">
        <f>IF(D76="","",D76-Targets!$B$13)</f>
        <v/>
      </c>
      <c r="L76" s="19">
        <f>IFERROR(AVERAGEIFS($B$2:$B76,$A$2:$A76,"&gt;="&amp;(A76-6),$A$2:$A76,"&lt;="&amp;A76),"")</f>
        <v/>
      </c>
      <c r="M76" s="19">
        <f>IFERROR(AVERAGEIFS($C$2:$C76,$A$2:$A76,"&gt;="&amp;(A76-6),$A$2:$A76,"&lt;="&amp;A76),"")</f>
        <v/>
      </c>
    </row>
    <row r="77">
      <c r="A77" s="20" t="n">
        <v>46324</v>
      </c>
      <c r="B77" s="17" t="n"/>
      <c r="C77" s="18" t="n"/>
      <c r="D77" s="18" t="n"/>
      <c r="E77" s="18" t="n"/>
      <c r="F77" s="18" t="n"/>
      <c r="G77" s="18" t="n"/>
      <c r="H77" s="18" t="n"/>
      <c r="I77" s="18" t="n"/>
      <c r="J77" s="19">
        <f>IF(C77="","",C77-Targets!$B$12)</f>
        <v/>
      </c>
      <c r="K77" s="19">
        <f>IF(D77="","",D77-Targets!$B$13)</f>
        <v/>
      </c>
      <c r="L77" s="19">
        <f>IFERROR(AVERAGEIFS($B$2:$B77,$A$2:$A77,"&gt;="&amp;(A77-6),$A$2:$A77,"&lt;="&amp;A77),"")</f>
        <v/>
      </c>
      <c r="M77" s="19">
        <f>IFERROR(AVERAGEIFS($C$2:$C77,$A$2:$A77,"&gt;="&amp;(A77-6),$A$2:$A77,"&lt;="&amp;A77),"")</f>
        <v/>
      </c>
    </row>
    <row r="78">
      <c r="A78" s="20" t="n">
        <v>46325</v>
      </c>
      <c r="B78" s="17" t="n"/>
      <c r="C78" s="18" t="n"/>
      <c r="D78" s="18" t="n"/>
      <c r="E78" s="18" t="n"/>
      <c r="F78" s="18" t="n"/>
      <c r="G78" s="18" t="n"/>
      <c r="H78" s="18" t="n"/>
      <c r="I78" s="18" t="n"/>
      <c r="J78" s="19">
        <f>IF(C78="","",C78-Targets!$B$12)</f>
        <v/>
      </c>
      <c r="K78" s="19">
        <f>IF(D78="","",D78-Targets!$B$13)</f>
        <v/>
      </c>
      <c r="L78" s="19">
        <f>IFERROR(AVERAGEIFS($B$2:$B78,$A$2:$A78,"&gt;="&amp;(A78-6),$A$2:$A78,"&lt;="&amp;A78),"")</f>
        <v/>
      </c>
      <c r="M78" s="19">
        <f>IFERROR(AVERAGEIFS($C$2:$C78,$A$2:$A78,"&gt;="&amp;(A78-6),$A$2:$A78,"&lt;="&amp;A78),"")</f>
        <v/>
      </c>
    </row>
    <row r="79">
      <c r="A79" s="20" t="n">
        <v>46326</v>
      </c>
      <c r="B79" s="17" t="n"/>
      <c r="C79" s="18" t="n"/>
      <c r="D79" s="18" t="n"/>
      <c r="E79" s="18" t="n"/>
      <c r="F79" s="18" t="n"/>
      <c r="G79" s="18" t="n"/>
      <c r="H79" s="18" t="n"/>
      <c r="I79" s="18" t="n"/>
      <c r="J79" s="19">
        <f>IF(C79="","",C79-Targets!$B$12)</f>
        <v/>
      </c>
      <c r="K79" s="19">
        <f>IF(D79="","",D79-Targets!$B$13)</f>
        <v/>
      </c>
      <c r="L79" s="19">
        <f>IFERROR(AVERAGEIFS($B$2:$B79,$A$2:$A79,"&gt;="&amp;(A79-6),$A$2:$A79,"&lt;="&amp;A79),"")</f>
        <v/>
      </c>
      <c r="M79" s="19">
        <f>IFERROR(AVERAGEIFS($C$2:$C79,$A$2:$A79,"&gt;="&amp;(A79-6),$A$2:$A79,"&lt;="&amp;A79),"")</f>
        <v/>
      </c>
    </row>
    <row r="80">
      <c r="A80" s="20" t="n">
        <v>46327</v>
      </c>
      <c r="B80" s="17" t="n"/>
      <c r="C80" s="18" t="n"/>
      <c r="D80" s="18" t="n"/>
      <c r="E80" s="18" t="n"/>
      <c r="F80" s="18" t="n"/>
      <c r="G80" s="18" t="n"/>
      <c r="H80" s="18" t="n"/>
      <c r="I80" s="18" t="n"/>
      <c r="J80" s="19">
        <f>IF(C80="","",C80-Targets!$B$12)</f>
        <v/>
      </c>
      <c r="K80" s="19">
        <f>IF(D80="","",D80-Targets!$B$13)</f>
        <v/>
      </c>
      <c r="L80" s="19">
        <f>IFERROR(AVERAGEIFS($B$2:$B80,$A$2:$A80,"&gt;="&amp;(A80-6),$A$2:$A80,"&lt;="&amp;A80),"")</f>
        <v/>
      </c>
      <c r="M80" s="19">
        <f>IFERROR(AVERAGEIFS($C$2:$C80,$A$2:$A80,"&gt;="&amp;(A80-6),$A$2:$A80,"&lt;="&amp;A80),"")</f>
        <v/>
      </c>
    </row>
    <row r="81">
      <c r="A81" s="20" t="n">
        <v>46328</v>
      </c>
      <c r="B81" s="17" t="n"/>
      <c r="C81" s="18" t="n"/>
      <c r="D81" s="18" t="n"/>
      <c r="E81" s="18" t="n"/>
      <c r="F81" s="18" t="n"/>
      <c r="G81" s="18" t="n"/>
      <c r="H81" s="18" t="n"/>
      <c r="I81" s="18" t="n"/>
      <c r="J81" s="19">
        <f>IF(C81="","",C81-Targets!$B$12)</f>
        <v/>
      </c>
      <c r="K81" s="19">
        <f>IF(D81="","",D81-Targets!$B$13)</f>
        <v/>
      </c>
      <c r="L81" s="19">
        <f>IFERROR(AVERAGEIFS($B$2:$B81,$A$2:$A81,"&gt;="&amp;(A81-6),$A$2:$A81,"&lt;="&amp;A81),"")</f>
        <v/>
      </c>
      <c r="M81" s="19">
        <f>IFERROR(AVERAGEIFS($C$2:$C81,$A$2:$A81,"&gt;="&amp;(A81-6),$A$2:$A81,"&lt;="&amp;A81),"")</f>
        <v/>
      </c>
    </row>
    <row r="82">
      <c r="A82" s="20" t="n">
        <v>46329</v>
      </c>
      <c r="B82" s="17" t="n"/>
      <c r="C82" s="18" t="n"/>
      <c r="D82" s="18" t="n"/>
      <c r="E82" s="18" t="n"/>
      <c r="F82" s="18" t="n"/>
      <c r="G82" s="18" t="n"/>
      <c r="H82" s="18" t="n"/>
      <c r="I82" s="18" t="n"/>
      <c r="J82" s="19">
        <f>IF(C82="","",C82-Targets!$B$12)</f>
        <v/>
      </c>
      <c r="K82" s="19">
        <f>IF(D82="","",D82-Targets!$B$13)</f>
        <v/>
      </c>
      <c r="L82" s="19">
        <f>IFERROR(AVERAGEIFS($B$2:$B82,$A$2:$A82,"&gt;="&amp;(A82-6),$A$2:$A82,"&lt;="&amp;A82),"")</f>
        <v/>
      </c>
      <c r="M82" s="19">
        <f>IFERROR(AVERAGEIFS($C$2:$C82,$A$2:$A82,"&gt;="&amp;(A82-6),$A$2:$A82,"&lt;="&amp;A82),"")</f>
        <v/>
      </c>
    </row>
    <row r="83">
      <c r="A83" s="20" t="n">
        <v>46330</v>
      </c>
      <c r="B83" s="17" t="n"/>
      <c r="C83" s="18" t="n"/>
      <c r="D83" s="18" t="n"/>
      <c r="E83" s="18" t="n"/>
      <c r="F83" s="18" t="n"/>
      <c r="G83" s="18" t="n"/>
      <c r="H83" s="18" t="n"/>
      <c r="I83" s="18" t="n"/>
      <c r="J83" s="19">
        <f>IF(C83="","",C83-Targets!$B$12)</f>
        <v/>
      </c>
      <c r="K83" s="19">
        <f>IF(D83="","",D83-Targets!$B$13)</f>
        <v/>
      </c>
      <c r="L83" s="19">
        <f>IFERROR(AVERAGEIFS($B$2:$B83,$A$2:$A83,"&gt;="&amp;(A83-6),$A$2:$A83,"&lt;="&amp;A83),"")</f>
        <v/>
      </c>
      <c r="M83" s="19">
        <f>IFERROR(AVERAGEIFS($C$2:$C83,$A$2:$A83,"&gt;="&amp;(A83-6),$A$2:$A83,"&lt;="&amp;A83),"")</f>
        <v/>
      </c>
    </row>
    <row r="84">
      <c r="A84" s="20" t="n">
        <v>46331</v>
      </c>
      <c r="B84" s="17" t="n"/>
      <c r="C84" s="18" t="n"/>
      <c r="D84" s="18" t="n"/>
      <c r="E84" s="18" t="n"/>
      <c r="F84" s="18" t="n"/>
      <c r="G84" s="18" t="n"/>
      <c r="H84" s="18" t="n"/>
      <c r="I84" s="18" t="n"/>
      <c r="J84" s="19">
        <f>IF(C84="","",C84-Targets!$B$12)</f>
        <v/>
      </c>
      <c r="K84" s="19">
        <f>IF(D84="","",D84-Targets!$B$13)</f>
        <v/>
      </c>
      <c r="L84" s="19">
        <f>IFERROR(AVERAGEIFS($B$2:$B84,$A$2:$A84,"&gt;="&amp;(A84-6),$A$2:$A84,"&lt;="&amp;A84),"")</f>
        <v/>
      </c>
      <c r="M84" s="19">
        <f>IFERROR(AVERAGEIFS($C$2:$C84,$A$2:$A84,"&gt;="&amp;(A84-6),$A$2:$A84,"&lt;="&amp;A84),"")</f>
        <v/>
      </c>
    </row>
    <row r="85">
      <c r="A85" s="20" t="n">
        <v>46332</v>
      </c>
      <c r="B85" s="17" t="n"/>
      <c r="C85" s="18" t="n"/>
      <c r="D85" s="18" t="n"/>
      <c r="E85" s="18" t="n"/>
      <c r="F85" s="18" t="n"/>
      <c r="G85" s="18" t="n"/>
      <c r="H85" s="18" t="n"/>
      <c r="I85" s="18" t="n"/>
      <c r="J85" s="19">
        <f>IF(C85="","",C85-Targets!$B$12)</f>
        <v/>
      </c>
      <c r="K85" s="19">
        <f>IF(D85="","",D85-Targets!$B$13)</f>
        <v/>
      </c>
      <c r="L85" s="19">
        <f>IFERROR(AVERAGEIFS($B$2:$B85,$A$2:$A85,"&gt;="&amp;(A85-6),$A$2:$A85,"&lt;="&amp;A85),"")</f>
        <v/>
      </c>
      <c r="M85" s="19">
        <f>IFERROR(AVERAGEIFS($C$2:$C85,$A$2:$A85,"&gt;="&amp;(A85-6),$A$2:$A85,"&lt;="&amp;A85),"")</f>
        <v/>
      </c>
    </row>
    <row r="86">
      <c r="A86" s="20" t="n">
        <v>46333</v>
      </c>
      <c r="B86" s="17" t="n"/>
      <c r="C86" s="18" t="n"/>
      <c r="D86" s="18" t="n"/>
      <c r="E86" s="18" t="n"/>
      <c r="F86" s="18" t="n"/>
      <c r="G86" s="18" t="n"/>
      <c r="H86" s="18" t="n"/>
      <c r="I86" s="18" t="n"/>
      <c r="J86" s="19">
        <f>IF(C86="","",C86-Targets!$B$12)</f>
        <v/>
      </c>
      <c r="K86" s="19">
        <f>IF(D86="","",D86-Targets!$B$13)</f>
        <v/>
      </c>
      <c r="L86" s="19">
        <f>IFERROR(AVERAGEIFS($B$2:$B86,$A$2:$A86,"&gt;="&amp;(A86-6),$A$2:$A86,"&lt;="&amp;A86),"")</f>
        <v/>
      </c>
      <c r="M86" s="19">
        <f>IFERROR(AVERAGEIFS($C$2:$C86,$A$2:$A86,"&gt;="&amp;(A86-6),$A$2:$A86,"&lt;="&amp;A86),"")</f>
        <v/>
      </c>
    </row>
    <row r="87">
      <c r="A87" s="20" t="n">
        <v>46334</v>
      </c>
      <c r="B87" s="17" t="n"/>
      <c r="C87" s="18" t="n"/>
      <c r="D87" s="18" t="n"/>
      <c r="E87" s="18" t="n"/>
      <c r="F87" s="18" t="n"/>
      <c r="G87" s="18" t="n"/>
      <c r="H87" s="18" t="n"/>
      <c r="I87" s="18" t="n"/>
      <c r="J87" s="19">
        <f>IF(C87="","",C87-Targets!$B$12)</f>
        <v/>
      </c>
      <c r="K87" s="19">
        <f>IF(D87="","",D87-Targets!$B$13)</f>
        <v/>
      </c>
      <c r="L87" s="19">
        <f>IFERROR(AVERAGEIFS($B$2:$B87,$A$2:$A87,"&gt;="&amp;(A87-6),$A$2:$A87,"&lt;="&amp;A87),"")</f>
        <v/>
      </c>
      <c r="M87" s="19">
        <f>IFERROR(AVERAGEIFS($C$2:$C87,$A$2:$A87,"&gt;="&amp;(A87-6),$A$2:$A87,"&lt;="&amp;A87),"")</f>
        <v/>
      </c>
    </row>
    <row r="88">
      <c r="A88" s="20" t="n">
        <v>46335</v>
      </c>
      <c r="B88" s="17" t="n"/>
      <c r="C88" s="18" t="n"/>
      <c r="D88" s="18" t="n"/>
      <c r="E88" s="18" t="n"/>
      <c r="F88" s="18" t="n"/>
      <c r="G88" s="18" t="n"/>
      <c r="H88" s="18" t="n"/>
      <c r="I88" s="18" t="n"/>
      <c r="J88" s="19">
        <f>IF(C88="","",C88-Targets!$B$12)</f>
        <v/>
      </c>
      <c r="K88" s="19">
        <f>IF(D88="","",D88-Targets!$B$13)</f>
        <v/>
      </c>
      <c r="L88" s="19">
        <f>IFERROR(AVERAGEIFS($B$2:$B88,$A$2:$A88,"&gt;="&amp;(A88-6),$A$2:$A88,"&lt;="&amp;A88),"")</f>
        <v/>
      </c>
      <c r="M88" s="19">
        <f>IFERROR(AVERAGEIFS($C$2:$C88,$A$2:$A88,"&gt;="&amp;(A88-6),$A$2:$A88,"&lt;="&amp;A88),"")</f>
        <v/>
      </c>
    </row>
    <row r="89">
      <c r="A89" s="20" t="n">
        <v>46336</v>
      </c>
      <c r="B89" s="17" t="n"/>
      <c r="C89" s="18" t="n"/>
      <c r="D89" s="18" t="n"/>
      <c r="E89" s="18" t="n"/>
      <c r="F89" s="18" t="n"/>
      <c r="G89" s="18" t="n"/>
      <c r="H89" s="18" t="n"/>
      <c r="I89" s="18" t="n"/>
      <c r="J89" s="19">
        <f>IF(C89="","",C89-Targets!$B$12)</f>
        <v/>
      </c>
      <c r="K89" s="19">
        <f>IF(D89="","",D89-Targets!$B$13)</f>
        <v/>
      </c>
      <c r="L89" s="19">
        <f>IFERROR(AVERAGEIFS($B$2:$B89,$A$2:$A89,"&gt;="&amp;(A89-6),$A$2:$A89,"&lt;="&amp;A89),"")</f>
        <v/>
      </c>
      <c r="M89" s="19">
        <f>IFERROR(AVERAGEIFS($C$2:$C89,$A$2:$A89,"&gt;="&amp;(A89-6),$A$2:$A89,"&lt;="&amp;A89),"")</f>
        <v/>
      </c>
    </row>
    <row r="90">
      <c r="A90" s="20" t="n">
        <v>46337</v>
      </c>
      <c r="B90" s="17" t="n"/>
      <c r="C90" s="18" t="n"/>
      <c r="D90" s="18" t="n"/>
      <c r="E90" s="18" t="n"/>
      <c r="F90" s="18" t="n"/>
      <c r="G90" s="18" t="n"/>
      <c r="H90" s="18" t="n"/>
      <c r="I90" s="18" t="n"/>
      <c r="J90" s="19">
        <f>IF(C90="","",C90-Targets!$B$12)</f>
        <v/>
      </c>
      <c r="K90" s="19">
        <f>IF(D90="","",D90-Targets!$B$13)</f>
        <v/>
      </c>
      <c r="L90" s="19">
        <f>IFERROR(AVERAGEIFS($B$2:$B90,$A$2:$A90,"&gt;="&amp;(A90-6),$A$2:$A90,"&lt;="&amp;A90),"")</f>
        <v/>
      </c>
      <c r="M90" s="19">
        <f>IFERROR(AVERAGEIFS($C$2:$C90,$A$2:$A90,"&gt;="&amp;(A90-6),$A$2:$A90,"&lt;="&amp;A90),"")</f>
        <v/>
      </c>
    </row>
    <row r="91">
      <c r="A91" s="20" t="n">
        <v>46338</v>
      </c>
      <c r="B91" s="17" t="n"/>
      <c r="C91" s="18" t="n"/>
      <c r="D91" s="18" t="n"/>
      <c r="E91" s="18" t="n"/>
      <c r="F91" s="18" t="n"/>
      <c r="G91" s="18" t="n"/>
      <c r="H91" s="18" t="n"/>
      <c r="I91" s="18" t="n"/>
      <c r="J91" s="19">
        <f>IF(C91="","",C91-Targets!$B$12)</f>
        <v/>
      </c>
      <c r="K91" s="19">
        <f>IF(D91="","",D91-Targets!$B$13)</f>
        <v/>
      </c>
      <c r="L91" s="19">
        <f>IFERROR(AVERAGEIFS($B$2:$B91,$A$2:$A91,"&gt;="&amp;(A91-6),$A$2:$A91,"&lt;="&amp;A91),"")</f>
        <v/>
      </c>
      <c r="M91" s="19">
        <f>IFERROR(AVERAGEIFS($C$2:$C91,$A$2:$A91,"&gt;="&amp;(A91-6),$A$2:$A91,"&lt;="&amp;A91),"")</f>
        <v/>
      </c>
    </row>
    <row r="92">
      <c r="A92" s="20" t="n">
        <v>46339</v>
      </c>
      <c r="B92" s="17" t="n"/>
      <c r="C92" s="18" t="n"/>
      <c r="D92" s="18" t="n"/>
      <c r="E92" s="18" t="n"/>
      <c r="F92" s="18" t="n"/>
      <c r="G92" s="18" t="n"/>
      <c r="H92" s="18" t="n"/>
      <c r="I92" s="18" t="n"/>
      <c r="J92" s="19">
        <f>IF(C92="","",C92-Targets!$B$12)</f>
        <v/>
      </c>
      <c r="K92" s="19">
        <f>IF(D92="","",D92-Targets!$B$13)</f>
        <v/>
      </c>
      <c r="L92" s="19">
        <f>IFERROR(AVERAGEIFS($B$2:$B92,$A$2:$A92,"&gt;="&amp;(A92-6),$A$2:$A92,"&lt;="&amp;A92),"")</f>
        <v/>
      </c>
      <c r="M92" s="19">
        <f>IFERROR(AVERAGEIFS($C$2:$C92,$A$2:$A92,"&gt;="&amp;(A92-6),$A$2:$A92,"&lt;="&amp;A92),"")</f>
        <v/>
      </c>
    </row>
    <row r="93">
      <c r="A93" s="20" t="n">
        <v>46340</v>
      </c>
      <c r="B93" s="17" t="n"/>
      <c r="C93" s="18" t="n"/>
      <c r="D93" s="18" t="n"/>
      <c r="E93" s="18" t="n"/>
      <c r="F93" s="18" t="n"/>
      <c r="G93" s="18" t="n"/>
      <c r="H93" s="18" t="n"/>
      <c r="I93" s="18" t="n"/>
      <c r="J93" s="19">
        <f>IF(C93="","",C93-Targets!$B$12)</f>
        <v/>
      </c>
      <c r="K93" s="19">
        <f>IF(D93="","",D93-Targets!$B$13)</f>
        <v/>
      </c>
      <c r="L93" s="19">
        <f>IFERROR(AVERAGEIFS($B$2:$B93,$A$2:$A93,"&gt;="&amp;(A93-6),$A$2:$A93,"&lt;="&amp;A93),"")</f>
        <v/>
      </c>
      <c r="M93" s="19">
        <f>IFERROR(AVERAGEIFS($C$2:$C93,$A$2:$A93,"&gt;="&amp;(A93-6),$A$2:$A93,"&lt;="&amp;A93),"")</f>
        <v/>
      </c>
    </row>
    <row r="94">
      <c r="A94" s="20" t="n">
        <v>46341</v>
      </c>
      <c r="B94" s="17" t="n"/>
      <c r="C94" s="18" t="n"/>
      <c r="D94" s="18" t="n"/>
      <c r="E94" s="18" t="n"/>
      <c r="F94" s="18" t="n"/>
      <c r="G94" s="18" t="n"/>
      <c r="H94" s="18" t="n"/>
      <c r="I94" s="18" t="n"/>
      <c r="J94" s="19">
        <f>IF(C94="","",C94-Targets!$B$12)</f>
        <v/>
      </c>
      <c r="K94" s="19">
        <f>IF(D94="","",D94-Targets!$B$13)</f>
        <v/>
      </c>
      <c r="L94" s="19">
        <f>IFERROR(AVERAGEIFS($B$2:$B94,$A$2:$A94,"&gt;="&amp;(A94-6),$A$2:$A94,"&lt;="&amp;A94),"")</f>
        <v/>
      </c>
      <c r="M94" s="19">
        <f>IFERROR(AVERAGEIFS($C$2:$C94,$A$2:$A94,"&gt;="&amp;(A94-6),$A$2:$A94,"&lt;="&amp;A94),"")</f>
        <v/>
      </c>
    </row>
    <row r="95">
      <c r="A95" s="20" t="n">
        <v>46342</v>
      </c>
      <c r="B95" s="17" t="n"/>
      <c r="C95" s="18" t="n"/>
      <c r="D95" s="18" t="n"/>
      <c r="E95" s="18" t="n"/>
      <c r="F95" s="18" t="n"/>
      <c r="G95" s="18" t="n"/>
      <c r="H95" s="18" t="n"/>
      <c r="I95" s="18" t="n"/>
      <c r="J95" s="19">
        <f>IF(C95="","",C95-Targets!$B$12)</f>
        <v/>
      </c>
      <c r="K95" s="19">
        <f>IF(D95="","",D95-Targets!$B$13)</f>
        <v/>
      </c>
      <c r="L95" s="19">
        <f>IFERROR(AVERAGEIFS($B$2:$B95,$A$2:$A95,"&gt;="&amp;(A95-6),$A$2:$A95,"&lt;="&amp;A95),"")</f>
        <v/>
      </c>
      <c r="M95" s="19">
        <f>IFERROR(AVERAGEIFS($C$2:$C95,$A$2:$A95,"&gt;="&amp;(A95-6),$A$2:$A95,"&lt;="&amp;A95),"")</f>
        <v/>
      </c>
    </row>
    <row r="96">
      <c r="A96" s="20" t="n">
        <v>46343</v>
      </c>
      <c r="B96" s="17" t="n"/>
      <c r="C96" s="18" t="n"/>
      <c r="D96" s="18" t="n"/>
      <c r="E96" s="18" t="n"/>
      <c r="F96" s="18" t="n"/>
      <c r="G96" s="18" t="n"/>
      <c r="H96" s="18" t="n"/>
      <c r="I96" s="18" t="n"/>
      <c r="J96" s="19">
        <f>IF(C96="","",C96-Targets!$B$12)</f>
        <v/>
      </c>
      <c r="K96" s="19">
        <f>IF(D96="","",D96-Targets!$B$13)</f>
        <v/>
      </c>
      <c r="L96" s="19">
        <f>IFERROR(AVERAGEIFS($B$2:$B96,$A$2:$A96,"&gt;="&amp;(A96-6),$A$2:$A96,"&lt;="&amp;A96),"")</f>
        <v/>
      </c>
      <c r="M96" s="19">
        <f>IFERROR(AVERAGEIFS($C$2:$C96,$A$2:$A96,"&gt;="&amp;(A96-6),$A$2:$A96,"&lt;="&amp;A96),"")</f>
        <v/>
      </c>
    </row>
    <row r="97">
      <c r="A97" s="20" t="n">
        <v>46344</v>
      </c>
      <c r="B97" s="17" t="n"/>
      <c r="C97" s="18" t="n"/>
      <c r="D97" s="18" t="n"/>
      <c r="E97" s="18" t="n"/>
      <c r="F97" s="18" t="n"/>
      <c r="G97" s="18" t="n"/>
      <c r="H97" s="18" t="n"/>
      <c r="I97" s="18" t="n"/>
      <c r="J97" s="19">
        <f>IF(C97="","",C97-Targets!$B$12)</f>
        <v/>
      </c>
      <c r="K97" s="19">
        <f>IF(D97="","",D97-Targets!$B$13)</f>
        <v/>
      </c>
      <c r="L97" s="19">
        <f>IFERROR(AVERAGEIFS($B$2:$B97,$A$2:$A97,"&gt;="&amp;(A97-6),$A$2:$A97,"&lt;="&amp;A97),"")</f>
        <v/>
      </c>
      <c r="M97" s="19">
        <f>IFERROR(AVERAGEIFS($C$2:$C97,$A$2:$A97,"&gt;="&amp;(A97-6),$A$2:$A97,"&lt;="&amp;A97),"")</f>
        <v/>
      </c>
    </row>
    <row r="98">
      <c r="A98" s="20" t="n">
        <v>46345</v>
      </c>
      <c r="B98" s="17" t="n"/>
      <c r="C98" s="18" t="n"/>
      <c r="D98" s="18" t="n"/>
      <c r="E98" s="18" t="n"/>
      <c r="F98" s="18" t="n"/>
      <c r="G98" s="18" t="n"/>
      <c r="H98" s="18" t="n"/>
      <c r="I98" s="18" t="n"/>
      <c r="J98" s="19">
        <f>IF(C98="","",C98-Targets!$B$12)</f>
        <v/>
      </c>
      <c r="K98" s="19">
        <f>IF(D98="","",D98-Targets!$B$13)</f>
        <v/>
      </c>
      <c r="L98" s="19">
        <f>IFERROR(AVERAGEIFS($B$2:$B98,$A$2:$A98,"&gt;="&amp;(A98-6),$A$2:$A98,"&lt;="&amp;A98),"")</f>
        <v/>
      </c>
      <c r="M98" s="19">
        <f>IFERROR(AVERAGEIFS($C$2:$C98,$A$2:$A98,"&gt;="&amp;(A98-6),$A$2:$A98,"&lt;="&amp;A98),"")</f>
        <v/>
      </c>
    </row>
    <row r="99">
      <c r="A99" s="20" t="n">
        <v>46346</v>
      </c>
      <c r="B99" s="17" t="n"/>
      <c r="C99" s="18" t="n"/>
      <c r="D99" s="18" t="n"/>
      <c r="E99" s="18" t="n"/>
      <c r="F99" s="18" t="n"/>
      <c r="G99" s="18" t="n"/>
      <c r="H99" s="18" t="n"/>
      <c r="I99" s="18" t="n"/>
      <c r="J99" s="19">
        <f>IF(C99="","",C99-Targets!$B$12)</f>
        <v/>
      </c>
      <c r="K99" s="19">
        <f>IF(D99="","",D99-Targets!$B$13)</f>
        <v/>
      </c>
      <c r="L99" s="19">
        <f>IFERROR(AVERAGEIFS($B$2:$B99,$A$2:$A99,"&gt;="&amp;(A99-6),$A$2:$A99,"&lt;="&amp;A99),"")</f>
        <v/>
      </c>
      <c r="M99" s="19">
        <f>IFERROR(AVERAGEIFS($C$2:$C99,$A$2:$A99,"&gt;="&amp;(A99-6),$A$2:$A99,"&lt;="&amp;A99),"")</f>
        <v/>
      </c>
    </row>
    <row r="100">
      <c r="A100" s="20" t="n">
        <v>46347</v>
      </c>
      <c r="B100" s="17" t="n"/>
      <c r="C100" s="18" t="n"/>
      <c r="D100" s="18" t="n"/>
      <c r="E100" s="18" t="n"/>
      <c r="F100" s="18" t="n"/>
      <c r="G100" s="18" t="n"/>
      <c r="H100" s="18" t="n"/>
      <c r="I100" s="18" t="n"/>
      <c r="J100" s="19">
        <f>IF(C100="","",C100-Targets!$B$12)</f>
        <v/>
      </c>
      <c r="K100" s="19">
        <f>IF(D100="","",D100-Targets!$B$13)</f>
        <v/>
      </c>
      <c r="L100" s="19">
        <f>IFERROR(AVERAGEIFS($B$2:$B100,$A$2:$A100,"&gt;="&amp;(A100-6),$A$2:$A100,"&lt;="&amp;A100),"")</f>
        <v/>
      </c>
      <c r="M100" s="19">
        <f>IFERROR(AVERAGEIFS($C$2:$C100,$A$2:$A100,"&gt;="&amp;(A100-6),$A$2:$A100,"&lt;="&amp;A100),"")</f>
        <v/>
      </c>
    </row>
    <row r="101">
      <c r="A101" s="20" t="n">
        <v>46348</v>
      </c>
      <c r="B101" s="17" t="n"/>
      <c r="C101" s="18" t="n"/>
      <c r="D101" s="18" t="n"/>
      <c r="E101" s="18" t="n"/>
      <c r="F101" s="18" t="n"/>
      <c r="G101" s="18" t="n"/>
      <c r="H101" s="18" t="n"/>
      <c r="I101" s="18" t="n"/>
      <c r="J101" s="19">
        <f>IF(C101="","",C101-Targets!$B$12)</f>
        <v/>
      </c>
      <c r="K101" s="19">
        <f>IF(D101="","",D101-Targets!$B$13)</f>
        <v/>
      </c>
      <c r="L101" s="19">
        <f>IFERROR(AVERAGEIFS($B$2:$B101,$A$2:$A101,"&gt;="&amp;(A101-6),$A$2:$A101,"&lt;="&amp;A101),"")</f>
        <v/>
      </c>
      <c r="M101" s="19">
        <f>IFERROR(AVERAGEIFS($C$2:$C101,$A$2:$A101,"&gt;="&amp;(A101-6),$A$2:$A101,"&lt;="&amp;A101),"")</f>
        <v/>
      </c>
    </row>
    <row r="102">
      <c r="A102" s="20" t="n">
        <v>46349</v>
      </c>
      <c r="B102" s="17" t="n"/>
      <c r="C102" s="18" t="n"/>
      <c r="D102" s="18" t="n"/>
      <c r="E102" s="18" t="n"/>
      <c r="F102" s="18" t="n"/>
      <c r="G102" s="18" t="n"/>
      <c r="H102" s="18" t="n"/>
      <c r="I102" s="18" t="n"/>
      <c r="J102" s="19">
        <f>IF(C102="","",C102-Targets!$B$12)</f>
        <v/>
      </c>
      <c r="K102" s="19">
        <f>IF(D102="","",D102-Targets!$B$13)</f>
        <v/>
      </c>
      <c r="L102" s="19">
        <f>IFERROR(AVERAGEIFS($B$2:$B102,$A$2:$A102,"&gt;="&amp;(A102-6),$A$2:$A102,"&lt;="&amp;A102),"")</f>
        <v/>
      </c>
      <c r="M102" s="19">
        <f>IFERROR(AVERAGEIFS($C$2:$C102,$A$2:$A102,"&gt;="&amp;(A102-6),$A$2:$A102,"&lt;="&amp;A102),"")</f>
        <v/>
      </c>
    </row>
    <row r="103">
      <c r="A103" s="20" t="n">
        <v>46350</v>
      </c>
      <c r="B103" s="17" t="n"/>
      <c r="C103" s="18" t="n"/>
      <c r="D103" s="18" t="n"/>
      <c r="E103" s="18" t="n"/>
      <c r="F103" s="18" t="n"/>
      <c r="G103" s="18" t="n"/>
      <c r="H103" s="18" t="n"/>
      <c r="I103" s="18" t="n"/>
      <c r="J103" s="19">
        <f>IF(C103="","",C103-Targets!$B$12)</f>
        <v/>
      </c>
      <c r="K103" s="19">
        <f>IF(D103="","",D103-Targets!$B$13)</f>
        <v/>
      </c>
      <c r="L103" s="19">
        <f>IFERROR(AVERAGEIFS($B$2:$B103,$A$2:$A103,"&gt;="&amp;(A103-6),$A$2:$A103,"&lt;="&amp;A103),"")</f>
        <v/>
      </c>
      <c r="M103" s="19">
        <f>IFERROR(AVERAGEIFS($C$2:$C103,$A$2:$A103,"&gt;="&amp;(A103-6),$A$2:$A103,"&lt;="&amp;A103),"")</f>
        <v/>
      </c>
    </row>
    <row r="104">
      <c r="A104" s="20" t="n">
        <v>46351</v>
      </c>
      <c r="B104" s="17" t="n"/>
      <c r="C104" s="18" t="n"/>
      <c r="D104" s="18" t="n"/>
      <c r="E104" s="18" t="n"/>
      <c r="F104" s="18" t="n"/>
      <c r="G104" s="18" t="n"/>
      <c r="H104" s="18" t="n"/>
      <c r="I104" s="18" t="n"/>
      <c r="J104" s="19">
        <f>IF(C104="","",C104-Targets!$B$12)</f>
        <v/>
      </c>
      <c r="K104" s="19">
        <f>IF(D104="","",D104-Targets!$B$13)</f>
        <v/>
      </c>
      <c r="L104" s="19">
        <f>IFERROR(AVERAGEIFS($B$2:$B104,$A$2:$A104,"&gt;="&amp;(A104-6),$A$2:$A104,"&lt;="&amp;A104),"")</f>
        <v/>
      </c>
      <c r="M104" s="19">
        <f>IFERROR(AVERAGEIFS($C$2:$C104,$A$2:$A104,"&gt;="&amp;(A104-6),$A$2:$A104,"&lt;="&amp;A104),"")</f>
        <v/>
      </c>
    </row>
    <row r="105">
      <c r="A105" s="20" t="n">
        <v>46352</v>
      </c>
      <c r="B105" s="17" t="n"/>
      <c r="C105" s="18" t="n"/>
      <c r="D105" s="18" t="n"/>
      <c r="E105" s="18" t="n"/>
      <c r="F105" s="18" t="n"/>
      <c r="G105" s="18" t="n"/>
      <c r="H105" s="18" t="n"/>
      <c r="I105" s="18" t="n"/>
      <c r="J105" s="19">
        <f>IF(C105="","",C105-Targets!$B$12)</f>
        <v/>
      </c>
      <c r="K105" s="19">
        <f>IF(D105="","",D105-Targets!$B$13)</f>
        <v/>
      </c>
      <c r="L105" s="19">
        <f>IFERROR(AVERAGEIFS($B$2:$B105,$A$2:$A105,"&gt;="&amp;(A105-6),$A$2:$A105,"&lt;="&amp;A105),"")</f>
        <v/>
      </c>
      <c r="M105" s="19">
        <f>IFERROR(AVERAGEIFS($C$2:$C105,$A$2:$A105,"&gt;="&amp;(A105-6),$A$2:$A105,"&lt;="&amp;A105),"")</f>
        <v/>
      </c>
    </row>
    <row r="106">
      <c r="A106" s="20" t="n">
        <v>46353</v>
      </c>
      <c r="B106" s="17" t="n"/>
      <c r="C106" s="18" t="n"/>
      <c r="D106" s="18" t="n"/>
      <c r="E106" s="18" t="n"/>
      <c r="F106" s="18" t="n"/>
      <c r="G106" s="18" t="n"/>
      <c r="H106" s="18" t="n"/>
      <c r="I106" s="18" t="n"/>
      <c r="J106" s="19">
        <f>IF(C106="","",C106-Targets!$B$12)</f>
        <v/>
      </c>
      <c r="K106" s="19">
        <f>IF(D106="","",D106-Targets!$B$13)</f>
        <v/>
      </c>
      <c r="L106" s="19">
        <f>IFERROR(AVERAGEIFS($B$2:$B106,$A$2:$A106,"&gt;="&amp;(A106-6),$A$2:$A106,"&lt;="&amp;A106),"")</f>
        <v/>
      </c>
      <c r="M106" s="19">
        <f>IFERROR(AVERAGEIFS($C$2:$C106,$A$2:$A106,"&gt;="&amp;(A106-6),$A$2:$A106,"&lt;="&amp;A106),"")</f>
        <v/>
      </c>
    </row>
    <row r="107">
      <c r="A107" s="20" t="n">
        <v>46354</v>
      </c>
      <c r="B107" s="17" t="n"/>
      <c r="C107" s="18" t="n"/>
      <c r="D107" s="18" t="n"/>
      <c r="E107" s="18" t="n"/>
      <c r="F107" s="18" t="n"/>
      <c r="G107" s="18" t="n"/>
      <c r="H107" s="18" t="n"/>
      <c r="I107" s="18" t="n"/>
      <c r="J107" s="19">
        <f>IF(C107="","",C107-Targets!$B$12)</f>
        <v/>
      </c>
      <c r="K107" s="19">
        <f>IF(D107="","",D107-Targets!$B$13)</f>
        <v/>
      </c>
      <c r="L107" s="19">
        <f>IFERROR(AVERAGEIFS($B$2:$B107,$A$2:$A107,"&gt;="&amp;(A107-6),$A$2:$A107,"&lt;="&amp;A107),"")</f>
        <v/>
      </c>
      <c r="M107" s="19">
        <f>IFERROR(AVERAGEIFS($C$2:$C107,$A$2:$A107,"&gt;="&amp;(A107-6),$A$2:$A107,"&lt;="&amp;A107),"")</f>
        <v/>
      </c>
    </row>
    <row r="108">
      <c r="A108" s="20" t="n">
        <v>46355</v>
      </c>
      <c r="B108" s="17" t="n"/>
      <c r="C108" s="18" t="n"/>
      <c r="D108" s="18" t="n"/>
      <c r="E108" s="18" t="n"/>
      <c r="F108" s="18" t="n"/>
      <c r="G108" s="18" t="n"/>
      <c r="H108" s="18" t="n"/>
      <c r="I108" s="18" t="n"/>
      <c r="J108" s="19">
        <f>IF(C108="","",C108-Targets!$B$12)</f>
        <v/>
      </c>
      <c r="K108" s="19">
        <f>IF(D108="","",D108-Targets!$B$13)</f>
        <v/>
      </c>
      <c r="L108" s="19">
        <f>IFERROR(AVERAGEIFS($B$2:$B108,$A$2:$A108,"&gt;="&amp;(A108-6),$A$2:$A108,"&lt;="&amp;A108),"")</f>
        <v/>
      </c>
      <c r="M108" s="19">
        <f>IFERROR(AVERAGEIFS($C$2:$C108,$A$2:$A108,"&gt;="&amp;(A108-6),$A$2:$A108,"&lt;="&amp;A108),"")</f>
        <v/>
      </c>
    </row>
    <row r="109">
      <c r="A109" s="20" t="n">
        <v>46356</v>
      </c>
      <c r="B109" s="17" t="n"/>
      <c r="C109" s="18" t="n"/>
      <c r="D109" s="18" t="n"/>
      <c r="E109" s="18" t="n"/>
      <c r="F109" s="18" t="n"/>
      <c r="G109" s="18" t="n"/>
      <c r="H109" s="18" t="n"/>
      <c r="I109" s="18" t="n"/>
      <c r="J109" s="19">
        <f>IF(C109="","",C109-Targets!$B$12)</f>
        <v/>
      </c>
      <c r="K109" s="19">
        <f>IF(D109="","",D109-Targets!$B$13)</f>
        <v/>
      </c>
      <c r="L109" s="19">
        <f>IFERROR(AVERAGEIFS($B$2:$B109,$A$2:$A109,"&gt;="&amp;(A109-6),$A$2:$A109,"&lt;="&amp;A109),"")</f>
        <v/>
      </c>
      <c r="M109" s="19">
        <f>IFERROR(AVERAGEIFS($C$2:$C109,$A$2:$A109,"&gt;="&amp;(A109-6),$A$2:$A109,"&lt;="&amp;A109),"")</f>
        <v/>
      </c>
    </row>
    <row r="110">
      <c r="A110" s="20" t="n">
        <v>46357</v>
      </c>
      <c r="B110" s="17" t="n"/>
      <c r="C110" s="18" t="n"/>
      <c r="D110" s="18" t="n"/>
      <c r="E110" s="18" t="n"/>
      <c r="F110" s="18" t="n"/>
      <c r="G110" s="18" t="n"/>
      <c r="H110" s="18" t="n"/>
      <c r="I110" s="18" t="n"/>
      <c r="J110" s="19">
        <f>IF(C110="","",C110-Targets!$B$12)</f>
        <v/>
      </c>
      <c r="K110" s="19">
        <f>IF(D110="","",D110-Targets!$B$13)</f>
        <v/>
      </c>
      <c r="L110" s="19">
        <f>IFERROR(AVERAGEIFS($B$2:$B110,$A$2:$A110,"&gt;="&amp;(A110-6),$A$2:$A110,"&lt;="&amp;A110),"")</f>
        <v/>
      </c>
      <c r="M110" s="19">
        <f>IFERROR(AVERAGEIFS($C$2:$C110,$A$2:$A110,"&gt;="&amp;(A110-6),$A$2:$A110,"&lt;="&amp;A110),"")</f>
        <v/>
      </c>
    </row>
    <row r="111">
      <c r="A111" s="20" t="n">
        <v>46358</v>
      </c>
      <c r="B111" s="17" t="n"/>
      <c r="C111" s="18" t="n"/>
      <c r="D111" s="18" t="n"/>
      <c r="E111" s="18" t="n"/>
      <c r="F111" s="18" t="n"/>
      <c r="G111" s="18" t="n"/>
      <c r="H111" s="18" t="n"/>
      <c r="I111" s="18" t="n"/>
      <c r="J111" s="19">
        <f>IF(C111="","",C111-Targets!$B$12)</f>
        <v/>
      </c>
      <c r="K111" s="19">
        <f>IF(D111="","",D111-Targets!$B$13)</f>
        <v/>
      </c>
      <c r="L111" s="19">
        <f>IFERROR(AVERAGEIFS($B$2:$B111,$A$2:$A111,"&gt;="&amp;(A111-6),$A$2:$A111,"&lt;="&amp;A111),"")</f>
        <v/>
      </c>
      <c r="M111" s="19">
        <f>IFERROR(AVERAGEIFS($C$2:$C111,$A$2:$A111,"&gt;="&amp;(A111-6),$A$2:$A111,"&lt;="&amp;A111),"")</f>
        <v/>
      </c>
    </row>
    <row r="112">
      <c r="A112" s="20" t="n">
        <v>46359</v>
      </c>
      <c r="B112" s="17" t="n"/>
      <c r="C112" s="18" t="n"/>
      <c r="D112" s="18" t="n"/>
      <c r="E112" s="18" t="n"/>
      <c r="F112" s="18" t="n"/>
      <c r="G112" s="18" t="n"/>
      <c r="H112" s="18" t="n"/>
      <c r="I112" s="18" t="n"/>
      <c r="J112" s="19">
        <f>IF(C112="","",C112-Targets!$B$12)</f>
        <v/>
      </c>
      <c r="K112" s="19">
        <f>IF(D112="","",D112-Targets!$B$13)</f>
        <v/>
      </c>
      <c r="L112" s="19">
        <f>IFERROR(AVERAGEIFS($B$2:$B112,$A$2:$A112,"&gt;="&amp;(A112-6),$A$2:$A112,"&lt;="&amp;A112),"")</f>
        <v/>
      </c>
      <c r="M112" s="19">
        <f>IFERROR(AVERAGEIFS($C$2:$C112,$A$2:$A112,"&gt;="&amp;(A112-6),$A$2:$A112,"&lt;="&amp;A112),"")</f>
        <v/>
      </c>
    </row>
    <row r="113">
      <c r="A113" s="20" t="n">
        <v>46360</v>
      </c>
      <c r="B113" s="17" t="n"/>
      <c r="C113" s="18" t="n"/>
      <c r="D113" s="18" t="n"/>
      <c r="E113" s="18" t="n"/>
      <c r="F113" s="18" t="n"/>
      <c r="G113" s="18" t="n"/>
      <c r="H113" s="18" t="n"/>
      <c r="I113" s="18" t="n"/>
      <c r="J113" s="19">
        <f>IF(C113="","",C113-Targets!$B$12)</f>
        <v/>
      </c>
      <c r="K113" s="19">
        <f>IF(D113="","",D113-Targets!$B$13)</f>
        <v/>
      </c>
      <c r="L113" s="19">
        <f>IFERROR(AVERAGEIFS($B$2:$B113,$A$2:$A113,"&gt;="&amp;(A113-6),$A$2:$A113,"&lt;="&amp;A113),"")</f>
        <v/>
      </c>
      <c r="M113" s="19">
        <f>IFERROR(AVERAGEIFS($C$2:$C113,$A$2:$A113,"&gt;="&amp;(A113-6),$A$2:$A113,"&lt;="&amp;A113),"")</f>
        <v/>
      </c>
    </row>
    <row r="114">
      <c r="A114" s="20" t="n">
        <v>46361</v>
      </c>
      <c r="B114" s="17" t="n"/>
      <c r="C114" s="18" t="n"/>
      <c r="D114" s="18" t="n"/>
      <c r="E114" s="18" t="n"/>
      <c r="F114" s="18" t="n"/>
      <c r="G114" s="18" t="n"/>
      <c r="H114" s="18" t="n"/>
      <c r="I114" s="18" t="n"/>
      <c r="J114" s="19">
        <f>IF(C114="","",C114-Targets!$B$12)</f>
        <v/>
      </c>
      <c r="K114" s="19">
        <f>IF(D114="","",D114-Targets!$B$13)</f>
        <v/>
      </c>
      <c r="L114" s="19">
        <f>IFERROR(AVERAGEIFS($B$2:$B114,$A$2:$A114,"&gt;="&amp;(A114-6),$A$2:$A114,"&lt;="&amp;A114),"")</f>
        <v/>
      </c>
      <c r="M114" s="19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20" t="n">
        <v>46250</v>
      </c>
      <c r="B2" s="21">
        <f>IFERROR(AVERAGEIFS('Daily Log'!$B$2:$B$114,'Daily Log'!$A$2:$A$114,"&gt;="&amp;A2,'Daily Log'!$A$2:$A$114,"&lt;"&amp;(A2+7)),"")</f>
        <v/>
      </c>
      <c r="C2" t="inlineStr"/>
      <c r="D2" s="22">
        <f>IFERROR(AVERAGEIFS('Daily Log'!$C$2:$C$114,'Daily Log'!$A$2:$A$114,"&gt;="&amp;A2,'Daily Log'!$A$2:$A$114,"&lt;"&amp;(A2+7)),"")</f>
        <v/>
      </c>
      <c r="E2" s="22">
        <f>IFERROR(AVERAGEIFS('Daily Log'!$D$2:$D$114,'Daily Log'!$A$2:$A$114,"&gt;="&amp;A2,'Daily Log'!$A$2:$A$114,"&lt;"&amp;(A2+7)),"")</f>
        <v/>
      </c>
      <c r="F2" t="inlineStr"/>
      <c r="G2" s="14">
        <f>Targets!$B$7</f>
        <v/>
      </c>
      <c r="H2" s="23">
        <f>Targets!$B$12</f>
        <v/>
      </c>
      <c r="I2" s="23">
        <f>Targets!$B$13</f>
        <v/>
      </c>
    </row>
    <row r="3">
      <c r="A3" s="20" t="n">
        <v>46257</v>
      </c>
      <c r="B3" s="21">
        <f>IFERROR(AVERAGEIFS('Daily Log'!$B$2:$B$114,'Daily Log'!$A$2:$A$114,"&gt;="&amp;A3,'Daily Log'!$A$2:$A$114,"&lt;"&amp;(A3+7)),"")</f>
        <v/>
      </c>
      <c r="C3" s="21">
        <f>IF(OR(B3="",B2=""),"",B3-B2)</f>
        <v/>
      </c>
      <c r="D3" s="22">
        <f>IFERROR(AVERAGEIFS('Daily Log'!$C$2:$C$114,'Daily Log'!$A$2:$A$114,"&gt;="&amp;A3,'Daily Log'!$A$2:$A$114,"&lt;"&amp;(A3+7)),"")</f>
        <v/>
      </c>
      <c r="E3" s="22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14">
        <f>Targets!$B$7</f>
        <v/>
      </c>
      <c r="H3" s="23">
        <f>Targets!$B$12</f>
        <v/>
      </c>
      <c r="I3" s="23">
        <f>Targets!$B$13</f>
        <v/>
      </c>
    </row>
    <row r="4">
      <c r="A4" s="20" t="n">
        <v>46264</v>
      </c>
      <c r="B4" s="21">
        <f>IFERROR(AVERAGEIFS('Daily Log'!$B$2:$B$114,'Daily Log'!$A$2:$A$114,"&gt;="&amp;A4,'Daily Log'!$A$2:$A$114,"&lt;"&amp;(A4+7)),"")</f>
        <v/>
      </c>
      <c r="C4" s="21">
        <f>IF(OR(B4="",B3=""),"",B4-B3)</f>
        <v/>
      </c>
      <c r="D4" s="22">
        <f>IFERROR(AVERAGEIFS('Daily Log'!$C$2:$C$114,'Daily Log'!$A$2:$A$114,"&gt;="&amp;A4,'Daily Log'!$A$2:$A$114,"&lt;"&amp;(A4+7)),"")</f>
        <v/>
      </c>
      <c r="E4" s="22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14">
        <f>Targets!$B$7</f>
        <v/>
      </c>
      <c r="H4" s="23">
        <f>Targets!$B$12</f>
        <v/>
      </c>
      <c r="I4" s="23">
        <f>Targets!$B$13</f>
        <v/>
      </c>
    </row>
    <row r="5">
      <c r="A5" s="20" t="n">
        <v>46271</v>
      </c>
      <c r="B5" s="21">
        <f>IFERROR(AVERAGEIFS('Daily Log'!$B$2:$B$114,'Daily Log'!$A$2:$A$114,"&gt;="&amp;A5,'Daily Log'!$A$2:$A$114,"&lt;"&amp;(A5+7)),"")</f>
        <v/>
      </c>
      <c r="C5" s="21">
        <f>IF(OR(B5="",B4=""),"",B5-B4)</f>
        <v/>
      </c>
      <c r="D5" s="22">
        <f>IFERROR(AVERAGEIFS('Daily Log'!$C$2:$C$114,'Daily Log'!$A$2:$A$114,"&gt;="&amp;A5,'Daily Log'!$A$2:$A$114,"&lt;"&amp;(A5+7)),"")</f>
        <v/>
      </c>
      <c r="E5" s="22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14">
        <f>Targets!$B$7</f>
        <v/>
      </c>
      <c r="H5" s="23">
        <f>Targets!$B$12</f>
        <v/>
      </c>
      <c r="I5" s="23">
        <f>Targets!$B$13</f>
        <v/>
      </c>
    </row>
    <row r="6">
      <c r="A6" s="20" t="n">
        <v>46278</v>
      </c>
      <c r="B6" s="21">
        <f>IFERROR(AVERAGEIFS('Daily Log'!$B$2:$B$114,'Daily Log'!$A$2:$A$114,"&gt;="&amp;A6,'Daily Log'!$A$2:$A$114,"&lt;"&amp;(A6+7)),"")</f>
        <v/>
      </c>
      <c r="C6" s="21">
        <f>IF(OR(B6="",B5=""),"",B6-B5)</f>
        <v/>
      </c>
      <c r="D6" s="22">
        <f>IFERROR(AVERAGEIFS('Daily Log'!$C$2:$C$114,'Daily Log'!$A$2:$A$114,"&gt;="&amp;A6,'Daily Log'!$A$2:$A$114,"&lt;"&amp;(A6+7)),"")</f>
        <v/>
      </c>
      <c r="E6" s="22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14">
        <f>Targets!$B$7</f>
        <v/>
      </c>
      <c r="H6" s="23">
        <f>Targets!$B$12</f>
        <v/>
      </c>
      <c r="I6" s="23">
        <f>Targets!$B$13</f>
        <v/>
      </c>
    </row>
    <row r="7">
      <c r="A7" s="20" t="n">
        <v>46285</v>
      </c>
      <c r="B7" s="21">
        <f>IFERROR(AVERAGEIFS('Daily Log'!$B$2:$B$114,'Daily Log'!$A$2:$A$114,"&gt;="&amp;A7,'Daily Log'!$A$2:$A$114,"&lt;"&amp;(A7+7)),"")</f>
        <v/>
      </c>
      <c r="C7" s="21">
        <f>IF(OR(B7="",B6=""),"",B7-B6)</f>
        <v/>
      </c>
      <c r="D7" s="22">
        <f>IFERROR(AVERAGEIFS('Daily Log'!$C$2:$C$114,'Daily Log'!$A$2:$A$114,"&gt;="&amp;A7,'Daily Log'!$A$2:$A$114,"&lt;"&amp;(A7+7)),"")</f>
        <v/>
      </c>
      <c r="E7" s="22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14">
        <f>Targets!$B$7</f>
        <v/>
      </c>
      <c r="H7" s="23">
        <f>Targets!$B$12</f>
        <v/>
      </c>
      <c r="I7" s="23">
        <f>Targets!$B$13</f>
        <v/>
      </c>
    </row>
    <row r="8">
      <c r="A8" s="20" t="n">
        <v>46292</v>
      </c>
      <c r="B8" s="21">
        <f>IFERROR(AVERAGEIFS('Daily Log'!$B$2:$B$114,'Daily Log'!$A$2:$A$114,"&gt;="&amp;A8,'Daily Log'!$A$2:$A$114,"&lt;"&amp;(A8+7)),"")</f>
        <v/>
      </c>
      <c r="C8" s="21">
        <f>IF(OR(B8="",B7=""),"",B8-B7)</f>
        <v/>
      </c>
      <c r="D8" s="22">
        <f>IFERROR(AVERAGEIFS('Daily Log'!$C$2:$C$114,'Daily Log'!$A$2:$A$114,"&gt;="&amp;A8,'Daily Log'!$A$2:$A$114,"&lt;"&amp;(A8+7)),"")</f>
        <v/>
      </c>
      <c r="E8" s="22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14">
        <f>Targets!$B$7</f>
        <v/>
      </c>
      <c r="H8" s="23">
        <f>Targets!$B$12</f>
        <v/>
      </c>
      <c r="I8" s="23">
        <f>Targets!$B$13</f>
        <v/>
      </c>
    </row>
    <row r="9">
      <c r="A9" s="20" t="n">
        <v>46299</v>
      </c>
      <c r="B9" s="21">
        <f>IFERROR(AVERAGEIFS('Daily Log'!$B$2:$B$114,'Daily Log'!$A$2:$A$114,"&gt;="&amp;A9,'Daily Log'!$A$2:$A$114,"&lt;"&amp;(A9+7)),"")</f>
        <v/>
      </c>
      <c r="C9" s="21">
        <f>IF(OR(B9="",B8=""),"",B9-B8)</f>
        <v/>
      </c>
      <c r="D9" s="22">
        <f>IFERROR(AVERAGEIFS('Daily Log'!$C$2:$C$114,'Daily Log'!$A$2:$A$114,"&gt;="&amp;A9,'Daily Log'!$A$2:$A$114,"&lt;"&amp;(A9+7)),"")</f>
        <v/>
      </c>
      <c r="E9" s="22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14">
        <f>Targets!$B$7</f>
        <v/>
      </c>
      <c r="H9" s="23">
        <f>Targets!$B$12</f>
        <v/>
      </c>
      <c r="I9" s="23">
        <f>Targets!$B$13</f>
        <v/>
      </c>
    </row>
    <row r="10">
      <c r="A10" s="20" t="n">
        <v>46306</v>
      </c>
      <c r="B10" s="21">
        <f>IFERROR(AVERAGEIFS('Daily Log'!$B$2:$B$114,'Daily Log'!$A$2:$A$114,"&gt;="&amp;A10,'Daily Log'!$A$2:$A$114,"&lt;"&amp;(A10+7)),"")</f>
        <v/>
      </c>
      <c r="C10" s="21">
        <f>IF(OR(B10="",B9=""),"",B10-B9)</f>
        <v/>
      </c>
      <c r="D10" s="22">
        <f>IFERROR(AVERAGEIFS('Daily Log'!$C$2:$C$114,'Daily Log'!$A$2:$A$114,"&gt;="&amp;A10,'Daily Log'!$A$2:$A$114,"&lt;"&amp;(A10+7)),"")</f>
        <v/>
      </c>
      <c r="E10" s="22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14">
        <f>Targets!$B$7</f>
        <v/>
      </c>
      <c r="H10" s="23">
        <f>Targets!$B$12</f>
        <v/>
      </c>
      <c r="I10" s="23">
        <f>Targets!$B$13</f>
        <v/>
      </c>
    </row>
    <row r="11">
      <c r="A11" s="20" t="n">
        <v>46313</v>
      </c>
      <c r="B11" s="21">
        <f>IFERROR(AVERAGEIFS('Daily Log'!$B$2:$B$114,'Daily Log'!$A$2:$A$114,"&gt;="&amp;A11,'Daily Log'!$A$2:$A$114,"&lt;"&amp;(A11+7)),"")</f>
        <v/>
      </c>
      <c r="C11" s="21">
        <f>IF(OR(B11="",B10=""),"",B11-B10)</f>
        <v/>
      </c>
      <c r="D11" s="22">
        <f>IFERROR(AVERAGEIFS('Daily Log'!$C$2:$C$114,'Daily Log'!$A$2:$A$114,"&gt;="&amp;A11,'Daily Log'!$A$2:$A$114,"&lt;"&amp;(A11+7)),"")</f>
        <v/>
      </c>
      <c r="E11" s="22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14">
        <f>Targets!$B$7</f>
        <v/>
      </c>
      <c r="H11" s="23">
        <f>Targets!$B$12</f>
        <v/>
      </c>
      <c r="I11" s="23">
        <f>Targets!$B$13</f>
        <v/>
      </c>
    </row>
    <row r="12">
      <c r="A12" s="20" t="n">
        <v>46320</v>
      </c>
      <c r="B12" s="21">
        <f>IFERROR(AVERAGEIFS('Daily Log'!$B$2:$B$114,'Daily Log'!$A$2:$A$114,"&gt;="&amp;A12,'Daily Log'!$A$2:$A$114,"&lt;"&amp;(A12+7)),"")</f>
        <v/>
      </c>
      <c r="C12" s="21">
        <f>IF(OR(B12="",B11=""),"",B12-B11)</f>
        <v/>
      </c>
      <c r="D12" s="22">
        <f>IFERROR(AVERAGEIFS('Daily Log'!$C$2:$C$114,'Daily Log'!$A$2:$A$114,"&gt;="&amp;A12,'Daily Log'!$A$2:$A$114,"&lt;"&amp;(A12+7)),"")</f>
        <v/>
      </c>
      <c r="E12" s="22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14">
        <f>Targets!$B$7</f>
        <v/>
      </c>
      <c r="H12" s="23">
        <f>Targets!$B$12</f>
        <v/>
      </c>
      <c r="I12" s="23">
        <f>Targets!$B$13</f>
        <v/>
      </c>
    </row>
    <row r="13">
      <c r="A13" s="20" t="n">
        <v>46327</v>
      </c>
      <c r="B13" s="21">
        <f>IFERROR(AVERAGEIFS('Daily Log'!$B$2:$B$114,'Daily Log'!$A$2:$A$114,"&gt;="&amp;A13,'Daily Log'!$A$2:$A$114,"&lt;"&amp;(A13+7)),"")</f>
        <v/>
      </c>
      <c r="C13" s="21">
        <f>IF(OR(B13="",B12=""),"",B13-B12)</f>
        <v/>
      </c>
      <c r="D13" s="22">
        <f>IFERROR(AVERAGEIFS('Daily Log'!$C$2:$C$114,'Daily Log'!$A$2:$A$114,"&gt;="&amp;A13,'Daily Log'!$A$2:$A$114,"&lt;"&amp;(A13+7)),"")</f>
        <v/>
      </c>
      <c r="E13" s="22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14">
        <f>Targets!$B$7</f>
        <v/>
      </c>
      <c r="H13" s="23">
        <f>Targets!$B$12</f>
        <v/>
      </c>
      <c r="I13" s="23">
        <f>Targets!$B$13</f>
        <v/>
      </c>
    </row>
    <row r="14">
      <c r="A14" s="20" t="n">
        <v>46334</v>
      </c>
      <c r="B14" s="21">
        <f>IFERROR(AVERAGEIFS('Daily Log'!$B$2:$B$114,'Daily Log'!$A$2:$A$114,"&gt;="&amp;A14,'Daily Log'!$A$2:$A$114,"&lt;"&amp;(A14+7)),"")</f>
        <v/>
      </c>
      <c r="C14" s="21">
        <f>IF(OR(B14="",B13=""),"",B14-B13)</f>
        <v/>
      </c>
      <c r="D14" s="22">
        <f>IFERROR(AVERAGEIFS('Daily Log'!$C$2:$C$114,'Daily Log'!$A$2:$A$114,"&gt;="&amp;A14,'Daily Log'!$A$2:$A$114,"&lt;"&amp;(A14+7)),"")</f>
        <v/>
      </c>
      <c r="E14" s="22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14">
        <f>Targets!$B$7</f>
        <v/>
      </c>
      <c r="H14" s="23">
        <f>Targets!$B$12</f>
        <v/>
      </c>
      <c r="I14" s="23">
        <f>Targets!$B$13</f>
        <v/>
      </c>
    </row>
    <row r="15">
      <c r="A15" s="20" t="n">
        <v>46341</v>
      </c>
      <c r="B15" s="21">
        <f>IFERROR(AVERAGEIFS('Daily Log'!$B$2:$B$114,'Daily Log'!$A$2:$A$114,"&gt;="&amp;A15,'Daily Log'!$A$2:$A$114,"&lt;"&amp;(A15+7)),"")</f>
        <v/>
      </c>
      <c r="C15" s="21">
        <f>IF(OR(B15="",B14=""),"",B15-B14)</f>
        <v/>
      </c>
      <c r="D15" s="22">
        <f>IFERROR(AVERAGEIFS('Daily Log'!$C$2:$C$114,'Daily Log'!$A$2:$A$114,"&gt;="&amp;A15,'Daily Log'!$A$2:$A$114,"&lt;"&amp;(A15+7)),"")</f>
        <v/>
      </c>
      <c r="E15" s="22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14">
        <f>Targets!$B$7</f>
        <v/>
      </c>
      <c r="H15" s="23">
        <f>Targets!$B$12</f>
        <v/>
      </c>
      <c r="I15" s="23">
        <f>Targets!$B$13</f>
        <v/>
      </c>
    </row>
    <row r="16">
      <c r="A16" s="20" t="n">
        <v>46348</v>
      </c>
      <c r="B16" s="21">
        <f>IFERROR(AVERAGEIFS('Daily Log'!$B$2:$B$114,'Daily Log'!$A$2:$A$114,"&gt;="&amp;A16,'Daily Log'!$A$2:$A$114,"&lt;"&amp;(A16+7)),"")</f>
        <v/>
      </c>
      <c r="C16" s="21">
        <f>IF(OR(B16="",B15=""),"",B16-B15)</f>
        <v/>
      </c>
      <c r="D16" s="22">
        <f>IFERROR(AVERAGEIFS('Daily Log'!$C$2:$C$114,'Daily Log'!$A$2:$A$114,"&gt;="&amp;A16,'Daily Log'!$A$2:$A$114,"&lt;"&amp;(A16+7)),"")</f>
        <v/>
      </c>
      <c r="E16" s="22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14">
        <f>Targets!$B$7</f>
        <v/>
      </c>
      <c r="H16" s="23">
        <f>Targets!$B$12</f>
        <v/>
      </c>
      <c r="I16" s="23">
        <f>Targets!$B$13</f>
        <v/>
      </c>
    </row>
    <row r="17">
      <c r="A17" s="20" t="n">
        <v>46355</v>
      </c>
      <c r="B17" s="21">
        <f>IFERROR(AVERAGEIFS('Daily Log'!$B$2:$B$114,'Daily Log'!$A$2:$A$114,"&gt;="&amp;A17,'Daily Log'!$A$2:$A$114,"&lt;"&amp;(A17+7)),"")</f>
        <v/>
      </c>
      <c r="C17" s="21">
        <f>IF(OR(B17="",B16=""),"",B17-B16)</f>
        <v/>
      </c>
      <c r="D17" s="22">
        <f>IFERROR(AVERAGEIFS('Daily Log'!$C$2:$C$114,'Daily Log'!$A$2:$A$114,"&gt;="&amp;A17,'Daily Log'!$A$2:$A$114,"&lt;"&amp;(A17+7)),"")</f>
        <v/>
      </c>
      <c r="E17" s="22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14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24" t="n">
        <v>46235</v>
      </c>
      <c r="B2" s="21">
        <f>IFERROR(AVERAGEIFS('Daily Log'!$B$2:$B$114,'Daily Log'!$A$2:$A$114,"&gt;="&amp;A2,'Daily Log'!$A$2:$A$114,"&lt;"&amp;(EOMONTH(A2,0)+1)),"")</f>
        <v/>
      </c>
      <c r="C2" t="inlineStr"/>
      <c r="D2" s="22">
        <f>IFERROR(AVERAGEIFS('Daily Log'!$C$2:$C$114,'Daily Log'!$A$2:$A$114,"&gt;="&amp;A2,'Daily Log'!$A$2:$A$114,"&lt;"&amp;(EOMONTH(A2,0)+1)),"")</f>
        <v/>
      </c>
      <c r="E2" s="22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24" t="n">
        <v>46266</v>
      </c>
      <c r="B3" s="21">
        <f>IFERROR(AVERAGEIFS('Daily Log'!$B$2:$B$114,'Daily Log'!$A$2:$A$114,"&gt;="&amp;A3,'Daily Log'!$A$2:$A$114,"&lt;"&amp;(EOMONTH(A3,0)+1)),"")</f>
        <v/>
      </c>
      <c r="C3" s="21">
        <f>IF(OR(B3="",B2=""),"",B3-B2)</f>
        <v/>
      </c>
      <c r="D3" s="22">
        <f>IFERROR(AVERAGEIFS('Daily Log'!$C$2:$C$114,'Daily Log'!$A$2:$A$114,"&gt;="&amp;A3,'Daily Log'!$A$2:$A$114,"&lt;"&amp;(EOMONTH(A3,0)+1)),"")</f>
        <v/>
      </c>
      <c r="E3" s="22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24" t="n">
        <v>46296</v>
      </c>
      <c r="B4" s="21">
        <f>IFERROR(AVERAGEIFS('Daily Log'!$B$2:$B$114,'Daily Log'!$A$2:$A$114,"&gt;="&amp;A4,'Daily Log'!$A$2:$A$114,"&lt;"&amp;(EOMONTH(A4,0)+1)),"")</f>
        <v/>
      </c>
      <c r="C4" s="21">
        <f>IF(OR(B4="",B3=""),"",B4-B3)</f>
        <v/>
      </c>
      <c r="D4" s="22">
        <f>IFERROR(AVERAGEIFS('Daily Log'!$C$2:$C$114,'Daily Log'!$A$2:$A$114,"&gt;="&amp;A4,'Daily Log'!$A$2:$A$114,"&lt;"&amp;(EOMONTH(A4,0)+1)),"")</f>
        <v/>
      </c>
      <c r="E4" s="22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24" t="n">
        <v>46327</v>
      </c>
      <c r="B5" s="21">
        <f>IFERROR(AVERAGEIFS('Daily Log'!$B$2:$B$114,'Daily Log'!$A$2:$A$114,"&gt;="&amp;A5,'Daily Log'!$A$2:$A$114,"&lt;"&amp;(EOMONTH(A5,0)+1)),"")</f>
        <v/>
      </c>
      <c r="C5" s="21">
        <f>IF(OR(B5="",B4=""),"",B5-B4)</f>
        <v/>
      </c>
      <c r="D5" s="22">
        <f>IFERROR(AVERAGEIFS('Daily Log'!$C$2:$C$114,'Daily Log'!$A$2:$A$114,"&gt;="&amp;A5,'Daily Log'!$A$2:$A$114,"&lt;"&amp;(EOMONTH(A5,0)+1)),"")</f>
        <v/>
      </c>
      <c r="E5" s="22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24" t="n">
        <v>46357</v>
      </c>
      <c r="B6" s="21">
        <f>IFERROR(AVERAGEIFS('Daily Log'!$B$2:$B$114,'Daily Log'!$A$2:$A$114,"&gt;="&amp;A6,'Daily Log'!$A$2:$A$114,"&lt;"&amp;(EOMONTH(A6,0)+1)),"")</f>
        <v/>
      </c>
      <c r="C6" s="21">
        <f>IF(OR(B6="",B5=""),"",B6-B5)</f>
        <v/>
      </c>
      <c r="D6" s="22">
        <f>IFERROR(AVERAGEIFS('Daily Log'!$C$2:$C$114,'Daily Log'!$A$2:$A$114,"&gt;="&amp;A6,'Daily Log'!$A$2:$A$114,"&lt;"&amp;(EOMONTH(A6,0)+1)),"")</f>
        <v/>
      </c>
      <c r="E6" s="22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2026-08-16T02:32:41Z</dcterms:modified>
</cp:coreProperties>
</file>