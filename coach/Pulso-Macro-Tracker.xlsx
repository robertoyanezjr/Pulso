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Dashboard" sheetId="2" state="visible" r:id="rId2"/>
    <sheet name="Targets" sheetId="3" state="visible" r:id="rId3"/>
    <sheet name="Daily Log" sheetId="4" state="visible" r:id="rId4"/>
    <sheet name="Weekly Summary" sheetId="5" state="visible" r:id="rId5"/>
    <sheet name="Training &amp; Recovery" sheetId="6" state="visible" r:id="rId6"/>
    <sheet name="Advisory Board Log" sheetId="7" state="visible" r:id="rId7"/>
    <sheet name="Bloodwork" sheetId="8" state="visible" r:id="rId8"/>
    <sheet name="Monthly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0.0;(0.0);&quot;—&quot;"/>
    <numFmt numFmtId="166" formatCode="0.000"/>
    <numFmt numFmtId="167" formatCode="yyyy-mm-dd"/>
    <numFmt numFmtId="168" formatCode="#,##0.0;(#,##0.0);&quot;&quot;"/>
    <numFmt numFmtId="169" formatCode="0.0;(0.0);&quot;&quot;"/>
    <numFmt numFmtId="170" formatCode="#,##0;(#,##0);&quot;&quot;"/>
    <numFmt numFmtId="171" formatCode="mmm yyyy"/>
    <numFmt numFmtId="172" formatCode="yyyy-mm-dd;;;@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color rgb="00000000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b val="1"/>
      <color rgb="002F5233"/>
      <sz val="14"/>
    </font>
    <font>
      <name val="Arial"/>
      <i val="1"/>
      <sz val="11"/>
    </font>
    <font>
      <name val="Arial"/>
      <i val="1"/>
      <color rgb="00888888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F5233"/>
      </patternFill>
    </fill>
    <fill>
      <patternFill patternType="solid">
        <fgColor rgb="00EAF2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4" borderId="0" pivotButton="0" quotePrefix="0" xfId="0"/>
    <xf numFmtId="164" fontId="7" fillId="4" borderId="0" pivotButton="0" quotePrefix="0" xfId="0"/>
    <xf numFmtId="3" fontId="7" fillId="4" borderId="0" pivotButton="0" quotePrefix="0" xfId="0"/>
    <xf numFmtId="165" fontId="7" fillId="4" borderId="0" pivotButton="0" quotePrefix="0" xfId="0"/>
    <xf numFmtId="1" fontId="7" fillId="4" borderId="0" pivotButton="0" quotePrefix="0" xfId="0"/>
    <xf numFmtId="0" fontId="8" fillId="0" borderId="0" applyAlignment="1" pivotButton="0" quotePrefix="0" xfId="0">
      <alignment vertical="top" wrapText="1"/>
    </xf>
    <xf numFmtId="1" fontId="5" fillId="2" borderId="1" pivotButton="0" quotePrefix="0" xfId="0"/>
    <xf numFmtId="166" fontId="5" fillId="2" borderId="1" pivotButton="0" quotePrefix="0" xfId="0"/>
    <xf numFmtId="0" fontId="3" fillId="0" borderId="1" pivotButton="0" quotePrefix="0" xfId="0"/>
    <xf numFmtId="164" fontId="3" fillId="0" borderId="0" pivotButton="0" quotePrefix="0" xfId="0"/>
    <xf numFmtId="0" fontId="6" fillId="3" borderId="0" applyAlignment="1" pivotButton="0" quotePrefix="0" xfId="0">
      <alignment horizontal="center" wrapText="1"/>
    </xf>
    <xf numFmtId="167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8" fontId="3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3" fontId="3" fillId="0" borderId="0" pivotButton="0" quotePrefix="0" xfId="0"/>
    <xf numFmtId="171" fontId="3" fillId="0" borderId="0" pivotButton="0" quotePrefix="0" xfId="0"/>
    <xf numFmtId="164" fontId="7" fillId="4" borderId="0" pivotButton="0" quotePrefix="0" xfId="0"/>
    <xf numFmtId="165" fontId="7" fillId="4" borderId="0" pivotButton="0" quotePrefix="0" xfId="0"/>
    <xf numFmtId="166" fontId="5" fillId="2" borderId="1" pivotButton="0" quotePrefix="0" xfId="0"/>
    <xf numFmtId="164" fontId="3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168" fontId="3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71" fontId="3" fillId="0" borderId="0" pivotButton="0" quotePrefix="0" xfId="0"/>
    <xf numFmtId="0" fontId="5" fillId="0" borderId="0" applyAlignment="1" pivotButton="0" quotePrefix="0" xfId="0">
      <alignment horizontal="center"/>
    </xf>
    <xf numFmtId="172" fontId="3" fillId="0" borderId="0" pivotButton="0" quotePrefix="0" xfId="0"/>
    <xf numFmtId="1" fontId="3" fillId="0" borderId="0" pivotButton="0" quotePrefix="0" xfId="0"/>
    <xf numFmtId="167" fontId="1" fillId="0" borderId="0" pivotButton="0" quotePrefix="0" xfId="0"/>
    <xf numFmtId="167" fontId="2" fillId="0" borderId="0" pivotButton="0" quotePrefix="0" xfId="0"/>
    <xf numFmtId="167" fontId="6" fillId="3" borderId="0" applyAlignment="1" pivotButton="0" quotePrefix="0" xfId="0">
      <alignment horizont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Avg Weight vs Goal</a:t>
            </a:r>
          </a:p>
        </rich>
      </tx>
    </title>
    <plotArea>
      <lineChart>
        <grouping val="standard"/>
        <ser>
          <idx val="0"/>
          <order val="0"/>
          <tx>
            <strRef>
              <f>'Weekly Summary'!B1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Summary'!$A$2:$A$17</f>
            </numRef>
          </cat>
          <val>
            <numRef>
              <f>'Weekly Summary'!$B$2:$B$17</f>
            </numRef>
          </val>
        </ser>
        <ser>
          <idx val="1"/>
          <order val="1"/>
          <tx>
            <strRef>
              <f>'Weekly Summary'!G1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Summary'!$A$2:$A$17</f>
            </numRef>
          </cat>
          <val>
            <numRef>
              <f>'Weekly Summary'!$G$2:$G$17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(lb)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Avg Calories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Summary'!D1</f>
            </strRef>
          </tx>
          <spPr>
            <a:ln>
              <a:prstDash val="solid"/>
            </a:ln>
          </spPr>
          <cat>
            <numRef>
              <f>'Weekly Summary'!$A$2:$A$17</f>
            </numRef>
          </cat>
          <val>
            <numRef>
              <f>'Weekly Summary'!$D$2:$D$17</f>
            </numRef>
          </val>
        </ser>
        <ser>
          <idx val="1"/>
          <order val="1"/>
          <tx>
            <strRef>
              <f>'Weekly Summary'!H1</f>
            </strRef>
          </tx>
          <spPr>
            <a:ln>
              <a:prstDash val="solid"/>
            </a:ln>
          </spPr>
          <cat>
            <numRef>
              <f>'Weekly Summary'!$A$2:$A$17</f>
            </numRef>
          </cat>
          <val>
            <numRef>
              <f>'Weekly Summary'!$H$2:$H$17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Avg Protein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Summary'!E1</f>
            </strRef>
          </tx>
          <spPr>
            <a:ln>
              <a:prstDash val="solid"/>
            </a:ln>
          </spPr>
          <cat>
            <numRef>
              <f>'Weekly Summary'!$A$2:$A$17</f>
            </numRef>
          </cat>
          <val>
            <numRef>
              <f>'Weekly Summary'!$E$2:$E$17</f>
            </numRef>
          </val>
        </ser>
        <ser>
          <idx val="1"/>
          <order val="1"/>
          <tx>
            <strRef>
              <f>'Weekly Summary'!I1</f>
            </strRef>
          </tx>
          <spPr>
            <a:ln>
              <a:prstDash val="solid"/>
            </a:ln>
          </spPr>
          <cat>
            <numRef>
              <f>'Weekly Summary'!$A$2:$A$17</f>
            </numRef>
          </cat>
          <val>
            <numRef>
              <f>'Weekly Summary'!$I$2:$I$17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grams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Weight Change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Summary'!C1</f>
            </strRef>
          </tx>
          <spPr>
            <a:ln>
              <a:prstDash val="solid"/>
            </a:ln>
          </spPr>
          <cat>
            <numRef>
              <f>'Monthly Summary'!$A$2:$A$6</f>
            </numRef>
          </cat>
          <val>
            <numRef>
              <f>'Monthly Summary'!$C$2:$C$6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lb change vs prior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35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17</row>
      <rowOff>0</rowOff>
    </from>
    <ext cx="61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35</row>
      <rowOff>0</rowOff>
    </from>
    <ext cx="612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Pulso Macro Tracker</t>
        </is>
      </c>
    </row>
    <row r="2">
      <c r="A2" s="2" t="inlineStr">
        <is>
          <t>Your long-term written record — the Claude chat itself forgets once you close it, this doesn't.</t>
        </is>
      </c>
    </row>
    <row r="3">
      <c r="A3" s="3" t="inlineStr"/>
    </row>
    <row r="4">
      <c r="A4" s="4" t="inlineStr">
        <is>
          <t>HOW TO USE</t>
        </is>
      </c>
    </row>
    <row r="5">
      <c r="A5" s="3" t="inlineStr">
        <is>
          <t>1. Targets tab: edit the blue cells (height, weight, goal weight, activity multiplier, deficit) if your stats change. Everything else recalculates.</t>
        </is>
      </c>
    </row>
    <row r="6">
      <c r="A6" s="3" t="inlineStr">
        <is>
          <t>2. Daily Log tab: each day, after your Claude coaching chat, copy the calorie/macro estimate into the matching date row. Dates are pre-filled through your goal window; row 2 is a filled-in EXAMPLE — overwrite it with your real first day.</t>
        </is>
      </c>
    </row>
    <row r="7">
      <c r="A7" s="3" t="inlineStr">
        <is>
          <t>3. Dashboard tab: your at-a-glance view — current stats, this week vs target, this month vs target, trend charts, and an auto-generated recommendation. Updates itself as you fill in the Daily Log.</t>
        </is>
      </c>
    </row>
    <row r="8">
      <c r="A8" s="3" t="inlineStr">
        <is>
          <t>4. Weekly Summary / Monthly Summary tabs: the tables the Dashboard's charts are built from — browse these for history beyond the current week/month.</t>
        </is>
      </c>
    </row>
    <row r="9">
      <c r="A9" s="3" t="inlineStr"/>
    </row>
    <row r="10">
      <c r="A10" s="4" t="inlineStr">
        <is>
          <t>COLOR KEY</t>
        </is>
      </c>
    </row>
    <row r="11">
      <c r="A11" s="3" t="inlineStr">
        <is>
          <t>Blue text = a cell you edit.</t>
        </is>
      </c>
    </row>
    <row r="12">
      <c r="A12" s="3" t="inlineStr">
        <is>
          <t>Black text = a formula — don't overwrite, it will break the recalculation.</t>
        </is>
      </c>
    </row>
    <row r="13">
      <c r="A13" s="3" t="inlineStr">
        <is>
          <t>Yellow fill = key assumption worth double-checking periodically.</t>
        </is>
      </c>
    </row>
    <row r="14">
      <c r="A14" s="3" t="inlineStr"/>
    </row>
    <row r="15">
      <c r="A15" s="3" t="inlineStr">
        <is>
          <t>This is a personal coaching tool, not medical advice. Talk to a physician before starting or changing a sustained calorie deficit.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Pulso Dashboard</t>
        </is>
      </c>
    </row>
    <row r="2">
      <c r="A2" s="2" t="inlineStr">
        <is>
          <t>Auto-updates from the Daily Log. "This week" / "this month" track today's date automatically.</t>
        </is>
      </c>
    </row>
    <row r="4" hidden="1">
      <c r="A4" s="2" t="inlineStr">
        <is>
          <t>internal: current week index</t>
        </is>
      </c>
      <c r="B4" s="3">
        <f>MIN(16,MAX(1,ROUNDUP((TODAY()-DATE(2026,8,9)+1)/7,0)))</f>
        <v/>
      </c>
      <c r="C4" s="2">
        <f> this week's row in Weekly Summary</f>
        <v/>
      </c>
      <c r="D4" s="3">
        <f>B4+1</f>
        <v/>
      </c>
    </row>
    <row r="5" hidden="1">
      <c r="A5" s="2" t="inlineStr">
        <is>
          <t>internal: current month index</t>
        </is>
      </c>
      <c r="B5" s="3">
        <f>MIN(5,MAX(1,(YEAR(TODAY())-2026)*12+MONTH(TODAY())-8+1))</f>
        <v/>
      </c>
      <c r="D5" s="3">
        <f>B5+1</f>
        <v/>
      </c>
    </row>
    <row r="7">
      <c r="A7" s="4" t="inlineStr">
        <is>
          <t>Weight</t>
        </is>
      </c>
      <c r="D7" s="4" t="inlineStr">
        <is>
          <t>This week vs target</t>
        </is>
      </c>
      <c r="G7" s="4" t="inlineStr">
        <is>
          <t>This month vs target</t>
        </is>
      </c>
    </row>
    <row r="8">
      <c r="A8" s="5" t="inlineStr">
        <is>
          <t>Starting</t>
        </is>
      </c>
      <c r="B8" s="25">
        <f>Targets!$B$6</f>
        <v/>
      </c>
      <c r="D8" s="5" t="inlineStr">
        <is>
          <t>Avg calories</t>
        </is>
      </c>
      <c r="E8" s="7">
        <f>IFERROR(INDEX('Weekly Summary'!D:D,$D$4),"—")</f>
        <v/>
      </c>
      <c r="G8" s="5" t="inlineStr">
        <is>
          <t>Avg weight change</t>
        </is>
      </c>
      <c r="H8" s="26">
        <f>IFERROR(INDEX('Monthly Summary'!C:C,$D$5),"—")</f>
        <v/>
      </c>
    </row>
    <row r="9">
      <c r="A9" s="5" t="inlineStr">
        <is>
          <t>Current (this week avg)</t>
        </is>
      </c>
      <c r="B9" s="25">
        <f>IFERROR(INDEX('Weekly Summary'!B:B,$D$4),"—")</f>
        <v/>
      </c>
      <c r="D9" s="5" t="inlineStr">
        <is>
          <t>Calorie target</t>
        </is>
      </c>
      <c r="E9" s="7">
        <f>Targets!$B$12</f>
        <v/>
      </c>
      <c r="G9" s="5" t="inlineStr">
        <is>
          <t>Days logged</t>
        </is>
      </c>
      <c r="H9" s="9">
        <f>IFERROR(INDEX('Monthly Summary'!F:F,$D$5),0)</f>
        <v/>
      </c>
    </row>
    <row r="10">
      <c r="A10" s="5" t="inlineStr">
        <is>
          <t>Goal</t>
        </is>
      </c>
      <c r="B10" s="25">
        <f>Targets!$B$7</f>
        <v/>
      </c>
      <c r="D10" s="5" t="inlineStr">
        <is>
          <t>Avg protein (g)</t>
        </is>
      </c>
      <c r="E10" s="7">
        <f>IFERROR(INDEX('Weekly Summary'!E:E,$D$4),"—")</f>
        <v/>
      </c>
      <c r="G10" s="5" t="inlineStr">
        <is>
          <t>Days on target (±100 kcal)</t>
        </is>
      </c>
      <c r="H10" s="9">
        <f>IFERROR(INDEX('Monthly Summary'!G:G,$D$5),0)</f>
        <v/>
      </c>
    </row>
    <row r="11">
      <c r="A11" s="5" t="inlineStr">
        <is>
          <t>Lbs lost so far</t>
        </is>
      </c>
      <c r="B11" s="25">
        <f>IFERROR(Targets!$B$6-INDEX('Weekly Summary'!B:B,$D$4),"—")</f>
        <v/>
      </c>
      <c r="D11" s="5" t="inlineStr">
        <is>
          <t>Protein target (g)</t>
        </is>
      </c>
      <c r="E11" s="7">
        <f>Targets!$B$13</f>
        <v/>
      </c>
      <c r="G11" s="5" t="inlineStr">
        <is>
          <t>Pace to goal (weeks, from today)</t>
        </is>
      </c>
      <c r="H11" s="25">
        <f>Targets!$B$19</f>
        <v/>
      </c>
    </row>
    <row r="12">
      <c r="A12" s="5" t="inlineStr">
        <is>
          <t>Lbs to go</t>
        </is>
      </c>
      <c r="B12" s="25">
        <f>IFERROR(INDEX('Weekly Summary'!B:B,$D$4)-Targets!$B$7,"—")</f>
        <v/>
      </c>
      <c r="D12" s="5" t="inlineStr">
        <is>
          <t>Weight change this week</t>
        </is>
      </c>
      <c r="E12" s="26">
        <f>IFERROR(INDEX('Weekly Summary'!C:C,$D$4),"—")</f>
        <v/>
      </c>
    </row>
    <row r="14">
      <c r="A14" s="4" t="inlineStr">
        <is>
          <t>Recommendation</t>
        </is>
      </c>
    </row>
    <row r="15">
      <c r="A15" s="10">
        <f>IF(INDEX('Weekly Summary'!C:C,$D$4)="","Log at least a few days this week to get a recommendation.",IF(INDEX('Weekly Summary'!C:C,$D$4)&lt;=-1.5,"Losing faster than target — consider adding back 100–150 kcal/day to protect muscle and energy.",IF(INDEX('Weekly Summary'!C:C,$D$4)&lt;=-0.5,"On pace — keep current targets.",IF(INDEX('Weekly Summary'!C:C,$D$4)&lt;0,"Slower than target — double check logging accuracy before cutting calories further.","No loss this week — check adherence first; if this repeats 2+ weeks, cut about 100–150 kcal/day."))))</f>
        <v/>
      </c>
    </row>
    <row r="16"/>
  </sheetData>
  <mergeCells count="1">
    <mergeCell ref="A15:J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5" customWidth="1" min="3" max="3"/>
  </cols>
  <sheetData>
    <row r="1">
      <c r="A1" s="1" t="inlineStr">
        <is>
          <t>Targets</t>
        </is>
      </c>
    </row>
    <row r="2">
      <c r="A2" s="2" t="inlineStr">
        <is>
          <t>Blue cells are inputs. Black cells recalculate automatically.</t>
        </is>
      </c>
    </row>
    <row r="4">
      <c r="A4" s="4" t="inlineStr">
        <is>
          <t>Height (in)</t>
        </is>
      </c>
      <c r="B4" s="11" t="n">
        <v>68</v>
      </c>
      <c r="C4" s="2" t="inlineStr">
        <is>
          <t>5'8"</t>
        </is>
      </c>
    </row>
    <row r="5">
      <c r="A5" s="4" t="inlineStr">
        <is>
          <t>Age</t>
        </is>
      </c>
      <c r="B5" s="11" t="n">
        <v>61</v>
      </c>
      <c r="C5" s="2" t="inlineStr"/>
    </row>
    <row r="6">
      <c r="A6" s="4" t="inlineStr">
        <is>
          <t>Starting weight (lb)</t>
        </is>
      </c>
      <c r="B6" s="11" t="n">
        <v>201</v>
      </c>
      <c r="C6" s="2" t="inlineStr">
        <is>
          <t>Update Daily Log for ongoing weigh-ins; this is the cut's starting point.</t>
        </is>
      </c>
    </row>
    <row r="7">
      <c r="A7" s="4" t="inlineStr">
        <is>
          <t>Goal weight (lb)</t>
        </is>
      </c>
      <c r="B7" s="11" t="n">
        <v>187</v>
      </c>
      <c r="C7" s="2" t="inlineStr"/>
    </row>
    <row r="8">
      <c r="A8" s="4" t="inlineStr">
        <is>
          <t>Activity multiplier</t>
        </is>
      </c>
      <c r="B8" s="27" t="n">
        <v>1.375</v>
      </c>
      <c r="C8" s="2" t="inlineStr">
        <is>
          <t>Sedentary desk job + resistance training every other day ≈ "lightly active" (Mifflin-St Jeor scale).</t>
        </is>
      </c>
    </row>
    <row r="9">
      <c r="A9" s="4" t="inlineStr">
        <is>
          <t>BMR (kcal)</t>
        </is>
      </c>
      <c r="B9" s="13">
        <f>10*(B6*0.453592)+6.25*(B4*2.54)-5*B5+5</f>
        <v/>
      </c>
      <c r="C9" s="2" t="inlineStr">
        <is>
          <t>Mifflin-St Jeor equation.</t>
        </is>
      </c>
    </row>
    <row r="10">
      <c r="A10" s="4" t="inlineStr">
        <is>
          <t>TDEE / maintenance (kcal)</t>
        </is>
      </c>
      <c r="B10" s="13">
        <f>B9*B8</f>
        <v/>
      </c>
      <c r="C10" s="2" t="inlineStr">
        <is>
          <t>BMR × activity multiplier.</t>
        </is>
      </c>
    </row>
    <row r="11">
      <c r="A11" s="4" t="inlineStr">
        <is>
          <t>Target deficit (kcal/day)</t>
        </is>
      </c>
      <c r="B11" s="11" t="n">
        <v>500</v>
      </c>
      <c r="C11" s="2" t="inlineStr">
        <is>
          <t>≈ 1 lb/week fat loss — sustainable pace while lifting every other day.</t>
        </is>
      </c>
    </row>
    <row r="12">
      <c r="A12" s="4" t="inlineStr">
        <is>
          <t>Calorie target (kcal/day)</t>
        </is>
      </c>
      <c r="B12" s="13">
        <f>B10-B11</f>
        <v/>
      </c>
      <c r="C12" s="2" t="inlineStr"/>
    </row>
    <row r="13">
      <c r="A13" s="4" t="inlineStr">
        <is>
          <t>Protein target (g/day)</t>
        </is>
      </c>
      <c r="B13" s="13">
        <f>ROUND(B7*1,0)</f>
        <v/>
      </c>
      <c r="C13" s="2" t="inlineStr">
        <is>
          <t>≈ 1g per lb of GOAL bodyweight — Attia/Lyon-style heuristic to preserve muscle during the cut.</t>
        </is>
      </c>
    </row>
    <row r="14">
      <c r="A14" s="4" t="inlineStr">
        <is>
          <t>Fat target (g/day)</t>
        </is>
      </c>
      <c r="B14" s="13">
        <f>ROUND(B12*0.28/9,0)</f>
        <v/>
      </c>
      <c r="C14" s="2" t="inlineStr">
        <is>
          <t>≈ 28% of calories from fat.</t>
        </is>
      </c>
    </row>
    <row r="15">
      <c r="A15" s="4" t="inlineStr">
        <is>
          <t>Carb target (g/day)</t>
        </is>
      </c>
      <c r="B15" s="13">
        <f>ROUND((B12-B13*4-B14*9)/4,0)</f>
        <v/>
      </c>
      <c r="C15" s="2" t="inlineStr">
        <is>
          <t>Whatever calories remain after protein + fat.</t>
        </is>
      </c>
    </row>
    <row r="16">
      <c r="A16" s="4" t="inlineStr">
        <is>
          <t>Fiber floor (g/day)</t>
        </is>
      </c>
      <c r="B16" s="11" t="n">
        <v>35</v>
      </c>
      <c r="C16" s="2" t="inlineStr">
        <is>
          <t>Elevated vs the standard 14g/1000kcal DV — Attia-style gut/metabolic health target.</t>
        </is>
      </c>
    </row>
    <row r="17">
      <c r="A17" s="4" t="inlineStr">
        <is>
          <t>Added sugar ceiling (g/day)</t>
        </is>
      </c>
      <c r="B17" s="11" t="n">
        <v>25</v>
      </c>
      <c r="C17" s="2" t="inlineStr"/>
    </row>
    <row r="19">
      <c r="A19" s="4" t="inlineStr">
        <is>
          <t>Pace to goal (weeks)</t>
        </is>
      </c>
      <c r="B19" s="28">
        <f>ROUND((B6-B7)/(B11/500),1)</f>
        <v/>
      </c>
      <c r="C19" s="2" t="inlineStr">
        <is>
          <t>Weeks to goal, scaled from the 1 lb/week-per-500kcal-deficit rule (adjusts if you change the deficit above).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1" customWidth="1" min="4" max="4"/>
    <col width="10" customWidth="1" min="5" max="5"/>
    <col width="9" customWidth="1" min="6" max="6"/>
    <col width="9" customWidth="1" min="7" max="7"/>
    <col width="12" customWidth="1" min="8" max="8"/>
    <col width="30" customWidth="1" min="9" max="9"/>
    <col width="13" customWidth="1" min="10" max="10"/>
    <col width="15" customWidth="1" min="11" max="11"/>
    <col width="15" customWidth="1" min="12" max="12"/>
    <col width="16" customWidth="1" min="13" max="13"/>
  </cols>
  <sheetData>
    <row r="1">
      <c r="A1" s="15" t="inlineStr">
        <is>
          <t>Date</t>
        </is>
      </c>
      <c r="B1" s="15" t="inlineStr">
        <is>
          <t>Weight (lb)</t>
        </is>
      </c>
      <c r="C1" s="15" t="inlineStr">
        <is>
          <t>Calories</t>
        </is>
      </c>
      <c r="D1" s="15" t="inlineStr">
        <is>
          <t>Protein (g)</t>
        </is>
      </c>
      <c r="E1" s="15" t="inlineStr">
        <is>
          <t>Carbs (g)</t>
        </is>
      </c>
      <c r="F1" s="15" t="inlineStr">
        <is>
          <t>Fat (g)</t>
        </is>
      </c>
      <c r="G1" s="15" t="inlineStr">
        <is>
          <t>Fiber (g)</t>
        </is>
      </c>
      <c r="H1" s="15" t="inlineStr">
        <is>
          <t>Alcohol (kcal)</t>
        </is>
      </c>
      <c r="I1" s="15" t="inlineStr">
        <is>
          <t>Notes</t>
        </is>
      </c>
      <c r="J1" s="15" t="inlineStr">
        <is>
          <t>Cal vs Target</t>
        </is>
      </c>
      <c r="K1" s="15" t="inlineStr">
        <is>
          <t>Protein vs Target</t>
        </is>
      </c>
      <c r="L1" s="15" t="inlineStr">
        <is>
          <t>7-day Avg Weight</t>
        </is>
      </c>
      <c r="M1" s="15" t="inlineStr">
        <is>
          <t>7-day Avg Calories</t>
        </is>
      </c>
      <c r="N1" s="43" t="inlineStr">
        <is>
          <t>Waist (in)</t>
        </is>
      </c>
    </row>
    <row r="2">
      <c r="A2" s="29" t="n">
        <v>46248</v>
      </c>
      <c r="B2" s="30" t="n">
        <v>201.4</v>
      </c>
      <c r="C2" s="18" t="n">
        <v>1820</v>
      </c>
      <c r="D2" s="18" t="n">
        <v>178</v>
      </c>
      <c r="E2" s="18" t="n">
        <v>138</v>
      </c>
      <c r="F2" s="18" t="n">
        <v>58</v>
      </c>
      <c r="G2" s="18" t="n">
        <v>32</v>
      </c>
      <c r="H2" s="18" t="n">
        <v>0</v>
      </c>
      <c r="I2" s="18" t="inlineStr">
        <is>
          <t>EXAMPLE ROW — overwrite with your real day</t>
        </is>
      </c>
      <c r="J2" s="31">
        <f>IF(C2="","",C2-Targets!$B$12)</f>
        <v/>
      </c>
      <c r="K2" s="31">
        <f>IF(D2="","",D2-Targets!$B$13)</f>
        <v/>
      </c>
      <c r="L2" s="31">
        <f>IFERROR(AVERAGEIFS($B$2:$B2,$A$2:$A2,"&gt;="&amp;(A2-6),$A$2:$A2,"&lt;="&amp;A2),"")</f>
        <v/>
      </c>
      <c r="M2" s="31">
        <f>IFERROR(AVERAGEIFS($C$2:$C2,$A$2:$A2,"&gt;="&amp;(A2-6),$A$2:$A2,"&lt;="&amp;A2),"")</f>
        <v/>
      </c>
    </row>
    <row r="3">
      <c r="A3" s="32" t="n">
        <v>46249</v>
      </c>
      <c r="B3" s="30" t="n">
        <v>201</v>
      </c>
      <c r="C3" s="18" t="n">
        <v>1565</v>
      </c>
      <c r="D3" s="18" t="n">
        <v>114</v>
      </c>
      <c r="E3" s="18" t="n">
        <v>100</v>
      </c>
      <c r="F3" s="18" t="n">
        <v>74</v>
      </c>
      <c r="G3" s="18" t="n">
        <v>21</v>
      </c>
      <c r="H3" s="18" t="n">
        <v>0</v>
      </c>
      <c r="I3" s="18" t="inlineStr">
        <is>
          <t>Egg scramble (salmon, broccoli, cottage cheese); banana + peanut butter; NY strip (fat trimmed), sweet potato, arugula/avocado salad. Fat over budget (3 stacked sources), carbs starch-heavy.</t>
        </is>
      </c>
      <c r="J3" s="31">
        <f>IF(C3="","",C3-Targets!$B$12)</f>
        <v/>
      </c>
      <c r="K3" s="31">
        <f>IF(D3="","",D3-Targets!$B$13)</f>
        <v/>
      </c>
      <c r="L3" s="31">
        <f>IFERROR(AVERAGEIFS($B$2:$B3,$A$2:$A3,"&gt;="&amp;(A3-6),$A$2:$A3,"&lt;="&amp;A3),"")</f>
        <v/>
      </c>
      <c r="M3" s="31">
        <f>IFERROR(AVERAGEIFS($C$2:$C3,$A$2:$A3,"&gt;="&amp;(A3-6),$A$2:$A3,"&lt;="&amp;A3),"")</f>
        <v/>
      </c>
    </row>
    <row r="4">
      <c r="A4" s="32" t="n">
        <v>46250</v>
      </c>
      <c r="B4" s="30" t="n"/>
      <c r="C4" s="18" t="n">
        <v>845</v>
      </c>
      <c r="D4" s="18" t="n">
        <v>78</v>
      </c>
      <c r="E4" s="18" t="n">
        <v>23</v>
      </c>
      <c r="F4" s="18" t="n">
        <v>45</v>
      </c>
      <c r="G4" s="18" t="n">
        <v>2.5</v>
      </c>
      <c r="H4" s="18" t="n">
        <v>0</v>
      </c>
      <c r="I4" s="18" t="inlineStr">
        <is>
          <t>Latte; 2 hard-boiled eggs+smoked salmon+mango; whole branzino Mediterranean+broccoli. Travel day — light overall, protein/fiber well under target.</t>
        </is>
      </c>
      <c r="J4" s="31">
        <f>IF(C4="","",C4-Targets!$B$12)</f>
        <v/>
      </c>
      <c r="K4" s="31">
        <f>IF(D4="","",D4-Targets!$B$13)</f>
        <v/>
      </c>
      <c r="L4" s="31">
        <f>IFERROR(AVERAGEIFS($B$2:$B4,$A$2:$A4,"&gt;="&amp;(A4-6),$A$2:$A4,"&lt;="&amp;A4),"")</f>
        <v/>
      </c>
      <c r="M4" s="31">
        <f>IFERROR(AVERAGEIFS($C$2:$C4,$A$2:$A4,"&gt;="&amp;(A4-6),$A$2:$A4,"&lt;="&amp;A4),"")</f>
        <v/>
      </c>
    </row>
    <row r="5">
      <c r="A5" s="32" t="n">
        <v>46251</v>
      </c>
      <c r="B5" s="30" t="n"/>
      <c r="C5" s="18" t="n">
        <v>1500</v>
      </c>
      <c r="D5" s="18" t="n">
        <v>125</v>
      </c>
      <c r="E5" s="18" t="n">
        <v>107</v>
      </c>
      <c r="F5" s="18" t="n">
        <v>69</v>
      </c>
      <c r="G5" s="18" t="n">
        <v>19</v>
      </c>
      <c r="H5" s="18" t="n">
        <v>0</v>
      </c>
      <c r="I5" s="18" t="inlineStr">
        <is>
          <t>Late lunch 3:30p: Cuban lentejas (60%), grilled chicken w/ cream sauce, maduros. Dinner: 6oz filet mignon medium rare, grilled veg+broccoli.</t>
        </is>
      </c>
      <c r="J5" s="31">
        <f>IF(C5="","",C5-Targets!$B$12)</f>
        <v/>
      </c>
      <c r="K5" s="31">
        <f>IF(D5="","",D5-Targets!$B$13)</f>
        <v/>
      </c>
      <c r="L5" s="31">
        <f>IFERROR(AVERAGEIFS($B$2:$B5,$A$2:$A5,"&gt;="&amp;(A5-6),$A$2:$A5,"&lt;="&amp;A5),"")</f>
        <v/>
      </c>
      <c r="M5" s="31">
        <f>IFERROR(AVERAGEIFS($C$2:$C5,$A$2:$A5,"&gt;="&amp;(A5-6),$A$2:$A5,"&lt;="&amp;A5),"")</f>
        <v/>
      </c>
    </row>
    <row r="6">
      <c r="A6" s="32" t="n">
        <v>46252</v>
      </c>
      <c r="B6" s="30" t="n"/>
      <c r="C6" s="18" t="n">
        <v>1545</v>
      </c>
      <c r="D6" s="18" t="n">
        <v>107</v>
      </c>
      <c r="E6" s="18" t="n">
        <v>122</v>
      </c>
      <c r="F6" s="18" t="n">
        <v>68</v>
      </c>
      <c r="G6" s="18" t="n">
        <v>7</v>
      </c>
      <c r="H6" s="18" t="n">
        <v>0</v>
      </c>
      <c r="I6" s="18" t="inlineStr">
        <is>
          <t>Breakfast: 1 egg+2 egg whites (spinach, onion), pickled jalapenos, Oikos yogurt. Lunch ~2pm: grilled chicken chopped salad (blue cheese, walnuts, cranberries, vinaigrette). Dinner: Wendy's chicken sandwich no bun, 5 fries, medium sweet tea. Fat finished the day over target (68/57g, mostly cheese+nuts+fried chicken); protein came up short (107 of 187g) despite calories landing under budget (1545/1825) - a lean-but-low-protein day overall.</t>
        </is>
      </c>
      <c r="J6" s="31">
        <f>IF(C6="","",C6-Targets!$B$12)</f>
        <v/>
      </c>
      <c r="K6" s="31">
        <f>IF(D6="","",D6-Targets!$B$13)</f>
        <v/>
      </c>
      <c r="L6" s="31">
        <f>IFERROR(AVERAGEIFS($B$2:$B6,$A$2:$A6,"&gt;="&amp;(A6-6),$A$2:$A6,"&lt;="&amp;A6),"")</f>
        <v/>
      </c>
      <c r="M6" s="31">
        <f>IFERROR(AVERAGEIFS($C$2:$C6,$A$2:$A6,"&gt;="&amp;(A6-6),$A$2:$A6,"&lt;="&amp;A6),"")</f>
        <v/>
      </c>
    </row>
    <row r="7">
      <c r="A7" s="32" t="n">
        <v>46253</v>
      </c>
      <c r="B7" s="30" t="n">
        <v>198</v>
      </c>
      <c r="C7" s="18" t="n">
        <v>1280</v>
      </c>
      <c r="D7" s="18" t="n">
        <v>101</v>
      </c>
      <c r="E7" s="18" t="n">
        <v>79</v>
      </c>
      <c r="F7" s="18" t="n">
        <v>67</v>
      </c>
      <c r="G7" s="18" t="n">
        <v>18</v>
      </c>
      <c r="H7" s="18" t="n"/>
      <c r="I7" s="18" t="inlineStr">
        <is>
          <t>Weighed in 198.0 lb at 7am, waist 40in. Breakfast 8:19am: 213kcal/30g protein/5g carb/8g fat/1g fiber. Snack (work): 168kcal/19g protein/22g carb/2g fat/3g fiber. Lunch 2:12pm: 346kcal/24g protein/21g carb/20g fat/5g fiber. Dinner (photo, salad w/ avocado+eggs): 430kcal/20g protein/20g carb/32g fat/9g fiber. Latte (1 shot espresso, 2% milk, ~12oz): approx 123kcal/8g protein/11g carb/5g fat. Day total: 1,280kcal/101g protein/79g carb/67g fat/18g fiber. Fat now 10g over target (67/57g). Protein at 101g, still well under 187g target if the day is done.</t>
        </is>
      </c>
      <c r="J7" s="31">
        <f>IF(C7="","",C7-Targets!$B$12)</f>
        <v/>
      </c>
      <c r="K7" s="31">
        <f>IF(D7="","",D7-Targets!$B$13)</f>
        <v/>
      </c>
      <c r="L7" s="31">
        <f>IFERROR(AVERAGEIFS($B$2:$B7,$A$2:$A7,"&gt;="&amp;(A7-6),$A$2:$A7,"&lt;="&amp;A7),"")</f>
        <v/>
      </c>
      <c r="M7" s="31">
        <f>IFERROR(AVERAGEIFS($C$2:$C7,$A$2:$A7,"&gt;="&amp;(A7-6),$A$2:$A7,"&lt;="&amp;A7),"")</f>
        <v/>
      </c>
      <c r="N7" t="n">
        <v>40</v>
      </c>
    </row>
    <row r="8">
      <c r="A8" s="32" t="n">
        <v>46254</v>
      </c>
      <c r="B8" s="30" t="n"/>
      <c r="C8" s="18" t="n">
        <v>1407</v>
      </c>
      <c r="D8" s="18" t="n">
        <v>147</v>
      </c>
      <c r="E8" s="18" t="n">
        <v>102</v>
      </c>
      <c r="F8" s="18" t="n">
        <v>46</v>
      </c>
      <c r="G8" s="18" t="n">
        <v>28</v>
      </c>
      <c r="H8" s="18" t="n">
        <v>0</v>
      </c>
      <c r="I8" s="18" t="inlineStr">
        <is>
          <t>Breakfast: 150g egg whites, 2 whole eggs, 50g spinach, 50g cottage cheese, salsa, blueberries (~130g), espresso no sugar - approx 373kcal/37g protein/27g carb/13g fat/5g fiber. Lunch: 180g salmon, 150g sweet potato, 145g brussels sprouts - approx 558kcal/46g protein/42g carb/22g fat/11g fiber. Dinner: turkey taco salad bowl - 175g extra-lean ground turkey, 75g arugula, 75g black beans, 75g pico de gallo, 40g avocado, 40g plain Greek yogurt, 25g white onion, cilantro+jalapeno, 1/2 lime - approx 476kcal/64g protein/33g carb/11g fat/12g fiber, gram-measured, excellent macro profile. Day total: 1,407kcal/147g protein/102g carb/46g fat/28g fiber - best day logged so far, well within every target with room to spare.</t>
        </is>
      </c>
      <c r="J8" s="31">
        <f>IF(C8="","",C8-Targets!$B$12)</f>
        <v/>
      </c>
      <c r="K8" s="31">
        <f>IF(D8="","",D8-Targets!$B$13)</f>
        <v/>
      </c>
      <c r="L8" s="31">
        <f>IFERROR(AVERAGEIFS($B$2:$B8,$A$2:$A8,"&gt;="&amp;(A8-6),$A$2:$A8,"&lt;="&amp;A8),"")</f>
        <v/>
      </c>
      <c r="M8" s="31">
        <f>IFERROR(AVERAGEIFS($C$2:$C8,$A$2:$A8,"&gt;="&amp;(A8-6),$A$2:$A8,"&lt;="&amp;A8),"")</f>
        <v/>
      </c>
    </row>
    <row r="9">
      <c r="A9" s="32" t="n">
        <v>46255</v>
      </c>
      <c r="B9" s="30" t="n"/>
      <c r="C9" s="18" t="n"/>
      <c r="D9" s="18" t="n"/>
      <c r="E9" s="18" t="n"/>
      <c r="F9" s="18" t="n"/>
      <c r="G9" s="18" t="n"/>
      <c r="H9" s="18" t="n"/>
      <c r="I9" s="18" t="n"/>
      <c r="J9" s="31">
        <f>IF(C9="","",C9-Targets!$B$12)</f>
        <v/>
      </c>
      <c r="K9" s="31">
        <f>IF(D9="","",D9-Targets!$B$13)</f>
        <v/>
      </c>
      <c r="L9" s="31">
        <f>IFERROR(AVERAGEIFS($B$2:$B9,$A$2:$A9,"&gt;="&amp;(A9-6),$A$2:$A9,"&lt;="&amp;A9),"")</f>
        <v/>
      </c>
      <c r="M9" s="31">
        <f>IFERROR(AVERAGEIFS($C$2:$C9,$A$2:$A9,"&gt;="&amp;(A9-6),$A$2:$A9,"&lt;="&amp;A9),"")</f>
        <v/>
      </c>
    </row>
    <row r="10">
      <c r="A10" s="32" t="n">
        <v>46256</v>
      </c>
      <c r="B10" s="30" t="n"/>
      <c r="C10" s="18" t="n"/>
      <c r="D10" s="18" t="n"/>
      <c r="E10" s="18" t="n"/>
      <c r="F10" s="18" t="n"/>
      <c r="G10" s="18" t="n"/>
      <c r="H10" s="18" t="n"/>
      <c r="I10" s="18" t="n"/>
      <c r="J10" s="31">
        <f>IF(C10="","",C10-Targets!$B$12)</f>
        <v/>
      </c>
      <c r="K10" s="31">
        <f>IF(D10="","",D10-Targets!$B$13)</f>
        <v/>
      </c>
      <c r="L10" s="31">
        <f>IFERROR(AVERAGEIFS($B$2:$B10,$A$2:$A10,"&gt;="&amp;(A10-6),$A$2:$A10,"&lt;="&amp;A10),"")</f>
        <v/>
      </c>
      <c r="M10" s="31">
        <f>IFERROR(AVERAGEIFS($C$2:$C10,$A$2:$A10,"&gt;="&amp;(A10-6),$A$2:$A10,"&lt;="&amp;A10),"")</f>
        <v/>
      </c>
    </row>
    <row r="11">
      <c r="A11" s="32" t="n">
        <v>46257</v>
      </c>
      <c r="B11" s="30" t="n"/>
      <c r="C11" s="18" t="n"/>
      <c r="D11" s="18" t="n"/>
      <c r="E11" s="18" t="n"/>
      <c r="F11" s="18" t="n"/>
      <c r="G11" s="18" t="n"/>
      <c r="H11" s="18" t="n"/>
      <c r="I11" s="18" t="n"/>
      <c r="J11" s="31">
        <f>IF(C11="","",C11-Targets!$B$12)</f>
        <v/>
      </c>
      <c r="K11" s="31">
        <f>IF(D11="","",D11-Targets!$B$13)</f>
        <v/>
      </c>
      <c r="L11" s="31">
        <f>IFERROR(AVERAGEIFS($B$2:$B11,$A$2:$A11,"&gt;="&amp;(A11-6),$A$2:$A11,"&lt;="&amp;A11),"")</f>
        <v/>
      </c>
      <c r="M11" s="31">
        <f>IFERROR(AVERAGEIFS($C$2:$C11,$A$2:$A11,"&gt;="&amp;(A11-6),$A$2:$A11,"&lt;="&amp;A11),"")</f>
        <v/>
      </c>
    </row>
    <row r="12">
      <c r="A12" s="32" t="n">
        <v>46258</v>
      </c>
      <c r="B12" s="30" t="n"/>
      <c r="C12" s="18" t="n"/>
      <c r="D12" s="18" t="n"/>
      <c r="E12" s="18" t="n"/>
      <c r="F12" s="18" t="n"/>
      <c r="G12" s="18" t="n"/>
      <c r="H12" s="18" t="n"/>
      <c r="I12" s="18" t="n"/>
      <c r="J12" s="31">
        <f>IF(C12="","",C12-Targets!$B$12)</f>
        <v/>
      </c>
      <c r="K12" s="31">
        <f>IF(D12="","",D12-Targets!$B$13)</f>
        <v/>
      </c>
      <c r="L12" s="31">
        <f>IFERROR(AVERAGEIFS($B$2:$B12,$A$2:$A12,"&gt;="&amp;(A12-6),$A$2:$A12,"&lt;="&amp;A12),"")</f>
        <v/>
      </c>
      <c r="M12" s="31">
        <f>IFERROR(AVERAGEIFS($C$2:$C12,$A$2:$A12,"&gt;="&amp;(A12-6),$A$2:$A12,"&lt;="&amp;A12),"")</f>
        <v/>
      </c>
    </row>
    <row r="13">
      <c r="A13" s="32" t="n">
        <v>46259</v>
      </c>
      <c r="B13" s="30" t="n"/>
      <c r="C13" s="18" t="n"/>
      <c r="D13" s="18" t="n"/>
      <c r="E13" s="18" t="n"/>
      <c r="F13" s="18" t="n"/>
      <c r="G13" s="18" t="n"/>
      <c r="H13" s="18" t="n"/>
      <c r="I13" s="18" t="n"/>
      <c r="J13" s="31">
        <f>IF(C13="","",C13-Targets!$B$12)</f>
        <v/>
      </c>
      <c r="K13" s="31">
        <f>IF(D13="","",D13-Targets!$B$13)</f>
        <v/>
      </c>
      <c r="L13" s="31">
        <f>IFERROR(AVERAGEIFS($B$2:$B13,$A$2:$A13,"&gt;="&amp;(A13-6),$A$2:$A13,"&lt;="&amp;A13),"")</f>
        <v/>
      </c>
      <c r="M13" s="31">
        <f>IFERROR(AVERAGEIFS($C$2:$C13,$A$2:$A13,"&gt;="&amp;(A13-6),$A$2:$A13,"&lt;="&amp;A13),"")</f>
        <v/>
      </c>
    </row>
    <row r="14">
      <c r="A14" s="32" t="n">
        <v>46260</v>
      </c>
      <c r="B14" s="30" t="n"/>
      <c r="C14" s="18" t="n"/>
      <c r="D14" s="18" t="n"/>
      <c r="E14" s="18" t="n"/>
      <c r="F14" s="18" t="n"/>
      <c r="G14" s="18" t="n"/>
      <c r="H14" s="18" t="n"/>
      <c r="I14" s="18" t="n"/>
      <c r="J14" s="31">
        <f>IF(C14="","",C14-Targets!$B$12)</f>
        <v/>
      </c>
      <c r="K14" s="31">
        <f>IF(D14="","",D14-Targets!$B$13)</f>
        <v/>
      </c>
      <c r="L14" s="31">
        <f>IFERROR(AVERAGEIFS($B$2:$B14,$A$2:$A14,"&gt;="&amp;(A14-6),$A$2:$A14,"&lt;="&amp;A14),"")</f>
        <v/>
      </c>
      <c r="M14" s="31">
        <f>IFERROR(AVERAGEIFS($C$2:$C14,$A$2:$A14,"&gt;="&amp;(A14-6),$A$2:$A14,"&lt;="&amp;A14),"")</f>
        <v/>
      </c>
    </row>
    <row r="15">
      <c r="A15" s="32" t="n">
        <v>46261</v>
      </c>
      <c r="B15" s="30" t="n"/>
      <c r="C15" s="18" t="n"/>
      <c r="D15" s="18" t="n"/>
      <c r="E15" s="18" t="n"/>
      <c r="F15" s="18" t="n"/>
      <c r="G15" s="18" t="n"/>
      <c r="H15" s="18" t="n"/>
      <c r="I15" s="18" t="n"/>
      <c r="J15" s="31">
        <f>IF(C15="","",C15-Targets!$B$12)</f>
        <v/>
      </c>
      <c r="K15" s="31">
        <f>IF(D15="","",D15-Targets!$B$13)</f>
        <v/>
      </c>
      <c r="L15" s="31">
        <f>IFERROR(AVERAGEIFS($B$2:$B15,$A$2:$A15,"&gt;="&amp;(A15-6),$A$2:$A15,"&lt;="&amp;A15),"")</f>
        <v/>
      </c>
      <c r="M15" s="31">
        <f>IFERROR(AVERAGEIFS($C$2:$C15,$A$2:$A15,"&gt;="&amp;(A15-6),$A$2:$A15,"&lt;="&amp;A15),"")</f>
        <v/>
      </c>
    </row>
    <row r="16">
      <c r="A16" s="32" t="n">
        <v>46262</v>
      </c>
      <c r="B16" s="30" t="n"/>
      <c r="C16" s="18" t="n"/>
      <c r="D16" s="18" t="n"/>
      <c r="E16" s="18" t="n"/>
      <c r="F16" s="18" t="n"/>
      <c r="G16" s="18" t="n"/>
      <c r="H16" s="18" t="n"/>
      <c r="I16" s="18" t="n"/>
      <c r="J16" s="31">
        <f>IF(C16="","",C16-Targets!$B$12)</f>
        <v/>
      </c>
      <c r="K16" s="31">
        <f>IF(D16="","",D16-Targets!$B$13)</f>
        <v/>
      </c>
      <c r="L16" s="31">
        <f>IFERROR(AVERAGEIFS($B$2:$B16,$A$2:$A16,"&gt;="&amp;(A16-6),$A$2:$A16,"&lt;="&amp;A16),"")</f>
        <v/>
      </c>
      <c r="M16" s="31">
        <f>IFERROR(AVERAGEIFS($C$2:$C16,$A$2:$A16,"&gt;="&amp;(A16-6),$A$2:$A16,"&lt;="&amp;A16),"")</f>
        <v/>
      </c>
    </row>
    <row r="17">
      <c r="A17" s="32" t="n">
        <v>46263</v>
      </c>
      <c r="B17" s="30" t="n"/>
      <c r="C17" s="18" t="n"/>
      <c r="D17" s="18" t="n"/>
      <c r="E17" s="18" t="n"/>
      <c r="F17" s="18" t="n"/>
      <c r="G17" s="18" t="n"/>
      <c r="H17" s="18" t="n"/>
      <c r="I17" s="18" t="n"/>
      <c r="J17" s="31">
        <f>IF(C17="","",C17-Targets!$B$12)</f>
        <v/>
      </c>
      <c r="K17" s="31">
        <f>IF(D17="","",D17-Targets!$B$13)</f>
        <v/>
      </c>
      <c r="L17" s="31">
        <f>IFERROR(AVERAGEIFS($B$2:$B17,$A$2:$A17,"&gt;="&amp;(A17-6),$A$2:$A17,"&lt;="&amp;A17),"")</f>
        <v/>
      </c>
      <c r="M17" s="31">
        <f>IFERROR(AVERAGEIFS($C$2:$C17,$A$2:$A17,"&gt;="&amp;(A17-6),$A$2:$A17,"&lt;="&amp;A17),"")</f>
        <v/>
      </c>
    </row>
    <row r="18">
      <c r="A18" s="32" t="n">
        <v>46264</v>
      </c>
      <c r="B18" s="30" t="n"/>
      <c r="C18" s="18" t="n"/>
      <c r="D18" s="18" t="n"/>
      <c r="E18" s="18" t="n"/>
      <c r="F18" s="18" t="n"/>
      <c r="G18" s="18" t="n"/>
      <c r="H18" s="18" t="n"/>
      <c r="I18" s="18" t="n"/>
      <c r="J18" s="31">
        <f>IF(C18="","",C18-Targets!$B$12)</f>
        <v/>
      </c>
      <c r="K18" s="31">
        <f>IF(D18="","",D18-Targets!$B$13)</f>
        <v/>
      </c>
      <c r="L18" s="31">
        <f>IFERROR(AVERAGEIFS($B$2:$B18,$A$2:$A18,"&gt;="&amp;(A18-6),$A$2:$A18,"&lt;="&amp;A18),"")</f>
        <v/>
      </c>
      <c r="M18" s="31">
        <f>IFERROR(AVERAGEIFS($C$2:$C18,$A$2:$A18,"&gt;="&amp;(A18-6),$A$2:$A18,"&lt;="&amp;A18),"")</f>
        <v/>
      </c>
    </row>
    <row r="19">
      <c r="A19" s="32" t="n">
        <v>46265</v>
      </c>
      <c r="B19" s="30" t="n"/>
      <c r="C19" s="18" t="n"/>
      <c r="D19" s="18" t="n"/>
      <c r="E19" s="18" t="n"/>
      <c r="F19" s="18" t="n"/>
      <c r="G19" s="18" t="n"/>
      <c r="H19" s="18" t="n"/>
      <c r="I19" s="18" t="n"/>
      <c r="J19" s="31">
        <f>IF(C19="","",C19-Targets!$B$12)</f>
        <v/>
      </c>
      <c r="K19" s="31">
        <f>IF(D19="","",D19-Targets!$B$13)</f>
        <v/>
      </c>
      <c r="L19" s="31">
        <f>IFERROR(AVERAGEIFS($B$2:$B19,$A$2:$A19,"&gt;="&amp;(A19-6),$A$2:$A19,"&lt;="&amp;A19),"")</f>
        <v/>
      </c>
      <c r="M19" s="31">
        <f>IFERROR(AVERAGEIFS($C$2:$C19,$A$2:$A19,"&gt;="&amp;(A19-6),$A$2:$A19,"&lt;="&amp;A19),"")</f>
        <v/>
      </c>
    </row>
    <row r="20">
      <c r="A20" s="32" t="n">
        <v>46266</v>
      </c>
      <c r="B20" s="30" t="n"/>
      <c r="C20" s="18" t="n"/>
      <c r="D20" s="18" t="n"/>
      <c r="E20" s="18" t="n"/>
      <c r="F20" s="18" t="n"/>
      <c r="G20" s="18" t="n"/>
      <c r="H20" s="18" t="n"/>
      <c r="I20" s="18" t="n"/>
      <c r="J20" s="31">
        <f>IF(C20="","",C20-Targets!$B$12)</f>
        <v/>
      </c>
      <c r="K20" s="31">
        <f>IF(D20="","",D20-Targets!$B$13)</f>
        <v/>
      </c>
      <c r="L20" s="31">
        <f>IFERROR(AVERAGEIFS($B$2:$B20,$A$2:$A20,"&gt;="&amp;(A20-6),$A$2:$A20,"&lt;="&amp;A20),"")</f>
        <v/>
      </c>
      <c r="M20" s="31">
        <f>IFERROR(AVERAGEIFS($C$2:$C20,$A$2:$A20,"&gt;="&amp;(A20-6),$A$2:$A20,"&lt;="&amp;A20),"")</f>
        <v/>
      </c>
    </row>
    <row r="21">
      <c r="A21" s="32" t="n">
        <v>46267</v>
      </c>
      <c r="B21" s="30" t="n"/>
      <c r="C21" s="18" t="n"/>
      <c r="D21" s="18" t="n"/>
      <c r="E21" s="18" t="n"/>
      <c r="F21" s="18" t="n"/>
      <c r="G21" s="18" t="n"/>
      <c r="H21" s="18" t="n"/>
      <c r="I21" s="18" t="n"/>
      <c r="J21" s="31">
        <f>IF(C21="","",C21-Targets!$B$12)</f>
        <v/>
      </c>
      <c r="K21" s="31">
        <f>IF(D21="","",D21-Targets!$B$13)</f>
        <v/>
      </c>
      <c r="L21" s="31">
        <f>IFERROR(AVERAGEIFS($B$2:$B21,$A$2:$A21,"&gt;="&amp;(A21-6),$A$2:$A21,"&lt;="&amp;A21),"")</f>
        <v/>
      </c>
      <c r="M21" s="31">
        <f>IFERROR(AVERAGEIFS($C$2:$C21,$A$2:$A21,"&gt;="&amp;(A21-6),$A$2:$A21,"&lt;="&amp;A21),"")</f>
        <v/>
      </c>
    </row>
    <row r="22">
      <c r="A22" s="32" t="n">
        <v>46268</v>
      </c>
      <c r="B22" s="30" t="n"/>
      <c r="C22" s="18" t="n"/>
      <c r="D22" s="18" t="n"/>
      <c r="E22" s="18" t="n"/>
      <c r="F22" s="18" t="n"/>
      <c r="G22" s="18" t="n"/>
      <c r="H22" s="18" t="n"/>
      <c r="I22" s="18" t="n"/>
      <c r="J22" s="31">
        <f>IF(C22="","",C22-Targets!$B$12)</f>
        <v/>
      </c>
      <c r="K22" s="31">
        <f>IF(D22="","",D22-Targets!$B$13)</f>
        <v/>
      </c>
      <c r="L22" s="31">
        <f>IFERROR(AVERAGEIFS($B$2:$B22,$A$2:$A22,"&gt;="&amp;(A22-6),$A$2:$A22,"&lt;="&amp;A22),"")</f>
        <v/>
      </c>
      <c r="M22" s="31">
        <f>IFERROR(AVERAGEIFS($C$2:$C22,$A$2:$A22,"&gt;="&amp;(A22-6),$A$2:$A22,"&lt;="&amp;A22),"")</f>
        <v/>
      </c>
    </row>
    <row r="23">
      <c r="A23" s="32" t="n">
        <v>46269</v>
      </c>
      <c r="B23" s="30" t="n"/>
      <c r="C23" s="18" t="n"/>
      <c r="D23" s="18" t="n"/>
      <c r="E23" s="18" t="n"/>
      <c r="F23" s="18" t="n"/>
      <c r="G23" s="18" t="n"/>
      <c r="H23" s="18" t="n"/>
      <c r="I23" s="18" t="n"/>
      <c r="J23" s="31">
        <f>IF(C23="","",C23-Targets!$B$12)</f>
        <v/>
      </c>
      <c r="K23" s="31">
        <f>IF(D23="","",D23-Targets!$B$13)</f>
        <v/>
      </c>
      <c r="L23" s="31">
        <f>IFERROR(AVERAGEIFS($B$2:$B23,$A$2:$A23,"&gt;="&amp;(A23-6),$A$2:$A23,"&lt;="&amp;A23),"")</f>
        <v/>
      </c>
      <c r="M23" s="31">
        <f>IFERROR(AVERAGEIFS($C$2:$C23,$A$2:$A23,"&gt;="&amp;(A23-6),$A$2:$A23,"&lt;="&amp;A23),"")</f>
        <v/>
      </c>
    </row>
    <row r="24">
      <c r="A24" s="32" t="n">
        <v>46270</v>
      </c>
      <c r="B24" s="30" t="n"/>
      <c r="C24" s="18" t="n"/>
      <c r="D24" s="18" t="n"/>
      <c r="E24" s="18" t="n"/>
      <c r="F24" s="18" t="n"/>
      <c r="G24" s="18" t="n"/>
      <c r="H24" s="18" t="n"/>
      <c r="I24" s="18" t="n"/>
      <c r="J24" s="31">
        <f>IF(C24="","",C24-Targets!$B$12)</f>
        <v/>
      </c>
      <c r="K24" s="31">
        <f>IF(D24="","",D24-Targets!$B$13)</f>
        <v/>
      </c>
      <c r="L24" s="31">
        <f>IFERROR(AVERAGEIFS($B$2:$B24,$A$2:$A24,"&gt;="&amp;(A24-6),$A$2:$A24,"&lt;="&amp;A24),"")</f>
        <v/>
      </c>
      <c r="M24" s="31">
        <f>IFERROR(AVERAGEIFS($C$2:$C24,$A$2:$A24,"&gt;="&amp;(A24-6),$A$2:$A24,"&lt;="&amp;A24),"")</f>
        <v/>
      </c>
    </row>
    <row r="25">
      <c r="A25" s="32" t="n">
        <v>46271</v>
      </c>
      <c r="B25" s="30" t="n"/>
      <c r="C25" s="18" t="n"/>
      <c r="D25" s="18" t="n"/>
      <c r="E25" s="18" t="n"/>
      <c r="F25" s="18" t="n"/>
      <c r="G25" s="18" t="n"/>
      <c r="H25" s="18" t="n"/>
      <c r="I25" s="18" t="n"/>
      <c r="J25" s="31">
        <f>IF(C25="","",C25-Targets!$B$12)</f>
        <v/>
      </c>
      <c r="K25" s="31">
        <f>IF(D25="","",D25-Targets!$B$13)</f>
        <v/>
      </c>
      <c r="L25" s="31">
        <f>IFERROR(AVERAGEIFS($B$2:$B25,$A$2:$A25,"&gt;="&amp;(A25-6),$A$2:$A25,"&lt;="&amp;A25),"")</f>
        <v/>
      </c>
      <c r="M25" s="31">
        <f>IFERROR(AVERAGEIFS($C$2:$C25,$A$2:$A25,"&gt;="&amp;(A25-6),$A$2:$A25,"&lt;="&amp;A25),"")</f>
        <v/>
      </c>
    </row>
    <row r="26">
      <c r="A26" s="32" t="n">
        <v>46272</v>
      </c>
      <c r="B26" s="30" t="n"/>
      <c r="C26" s="18" t="n"/>
      <c r="D26" s="18" t="n"/>
      <c r="E26" s="18" t="n"/>
      <c r="F26" s="18" t="n"/>
      <c r="G26" s="18" t="n"/>
      <c r="H26" s="18" t="n"/>
      <c r="I26" s="18" t="n"/>
      <c r="J26" s="31">
        <f>IF(C26="","",C26-Targets!$B$12)</f>
        <v/>
      </c>
      <c r="K26" s="31">
        <f>IF(D26="","",D26-Targets!$B$13)</f>
        <v/>
      </c>
      <c r="L26" s="31">
        <f>IFERROR(AVERAGEIFS($B$2:$B26,$A$2:$A26,"&gt;="&amp;(A26-6),$A$2:$A26,"&lt;="&amp;A26),"")</f>
        <v/>
      </c>
      <c r="M26" s="31">
        <f>IFERROR(AVERAGEIFS($C$2:$C26,$A$2:$A26,"&gt;="&amp;(A26-6),$A$2:$A26,"&lt;="&amp;A26),"")</f>
        <v/>
      </c>
    </row>
    <row r="27">
      <c r="A27" s="32" t="n">
        <v>46273</v>
      </c>
      <c r="B27" s="30" t="n"/>
      <c r="C27" s="18" t="n"/>
      <c r="D27" s="18" t="n"/>
      <c r="E27" s="18" t="n"/>
      <c r="F27" s="18" t="n"/>
      <c r="G27" s="18" t="n"/>
      <c r="H27" s="18" t="n"/>
      <c r="I27" s="18" t="n"/>
      <c r="J27" s="31">
        <f>IF(C27="","",C27-Targets!$B$12)</f>
        <v/>
      </c>
      <c r="K27" s="31">
        <f>IF(D27="","",D27-Targets!$B$13)</f>
        <v/>
      </c>
      <c r="L27" s="31">
        <f>IFERROR(AVERAGEIFS($B$2:$B27,$A$2:$A27,"&gt;="&amp;(A27-6),$A$2:$A27,"&lt;="&amp;A27),"")</f>
        <v/>
      </c>
      <c r="M27" s="31">
        <f>IFERROR(AVERAGEIFS($C$2:$C27,$A$2:$A27,"&gt;="&amp;(A27-6),$A$2:$A27,"&lt;="&amp;A27),"")</f>
        <v/>
      </c>
    </row>
    <row r="28">
      <c r="A28" s="32" t="n">
        <v>46274</v>
      </c>
      <c r="B28" s="30" t="n"/>
      <c r="C28" s="18" t="n"/>
      <c r="D28" s="18" t="n"/>
      <c r="E28" s="18" t="n"/>
      <c r="F28" s="18" t="n"/>
      <c r="G28" s="18" t="n"/>
      <c r="H28" s="18" t="n"/>
      <c r="I28" s="18" t="n"/>
      <c r="J28" s="31">
        <f>IF(C28="","",C28-Targets!$B$12)</f>
        <v/>
      </c>
      <c r="K28" s="31">
        <f>IF(D28="","",D28-Targets!$B$13)</f>
        <v/>
      </c>
      <c r="L28" s="31">
        <f>IFERROR(AVERAGEIFS($B$2:$B28,$A$2:$A28,"&gt;="&amp;(A28-6),$A$2:$A28,"&lt;="&amp;A28),"")</f>
        <v/>
      </c>
      <c r="M28" s="31">
        <f>IFERROR(AVERAGEIFS($C$2:$C28,$A$2:$A28,"&gt;="&amp;(A28-6),$A$2:$A28,"&lt;="&amp;A28),"")</f>
        <v/>
      </c>
    </row>
    <row r="29">
      <c r="A29" s="32" t="n">
        <v>46275</v>
      </c>
      <c r="B29" s="30" t="n"/>
      <c r="C29" s="18" t="n"/>
      <c r="D29" s="18" t="n"/>
      <c r="E29" s="18" t="n"/>
      <c r="F29" s="18" t="n"/>
      <c r="G29" s="18" t="n"/>
      <c r="H29" s="18" t="n"/>
      <c r="I29" s="18" t="n"/>
      <c r="J29" s="31">
        <f>IF(C29="","",C29-Targets!$B$12)</f>
        <v/>
      </c>
      <c r="K29" s="31">
        <f>IF(D29="","",D29-Targets!$B$13)</f>
        <v/>
      </c>
      <c r="L29" s="31">
        <f>IFERROR(AVERAGEIFS($B$2:$B29,$A$2:$A29,"&gt;="&amp;(A29-6),$A$2:$A29,"&lt;="&amp;A29),"")</f>
        <v/>
      </c>
      <c r="M29" s="31">
        <f>IFERROR(AVERAGEIFS($C$2:$C29,$A$2:$A29,"&gt;="&amp;(A29-6),$A$2:$A29,"&lt;="&amp;A29),"")</f>
        <v/>
      </c>
    </row>
    <row r="30">
      <c r="A30" s="32" t="n">
        <v>46276</v>
      </c>
      <c r="B30" s="30" t="n"/>
      <c r="C30" s="18" t="n"/>
      <c r="D30" s="18" t="n"/>
      <c r="E30" s="18" t="n"/>
      <c r="F30" s="18" t="n"/>
      <c r="G30" s="18" t="n"/>
      <c r="H30" s="18" t="n"/>
      <c r="I30" s="18" t="n"/>
      <c r="J30" s="31">
        <f>IF(C30="","",C30-Targets!$B$12)</f>
        <v/>
      </c>
      <c r="K30" s="31">
        <f>IF(D30="","",D30-Targets!$B$13)</f>
        <v/>
      </c>
      <c r="L30" s="31">
        <f>IFERROR(AVERAGEIFS($B$2:$B30,$A$2:$A30,"&gt;="&amp;(A30-6),$A$2:$A30,"&lt;="&amp;A30),"")</f>
        <v/>
      </c>
      <c r="M30" s="31">
        <f>IFERROR(AVERAGEIFS($C$2:$C30,$A$2:$A30,"&gt;="&amp;(A30-6),$A$2:$A30,"&lt;="&amp;A30),"")</f>
        <v/>
      </c>
    </row>
    <row r="31">
      <c r="A31" s="32" t="n">
        <v>46277</v>
      </c>
      <c r="B31" s="30" t="n"/>
      <c r="C31" s="18" t="n"/>
      <c r="D31" s="18" t="n"/>
      <c r="E31" s="18" t="n"/>
      <c r="F31" s="18" t="n"/>
      <c r="G31" s="18" t="n"/>
      <c r="H31" s="18" t="n"/>
      <c r="I31" s="18" t="n"/>
      <c r="J31" s="31">
        <f>IF(C31="","",C31-Targets!$B$12)</f>
        <v/>
      </c>
      <c r="K31" s="31">
        <f>IF(D31="","",D31-Targets!$B$13)</f>
        <v/>
      </c>
      <c r="L31" s="31">
        <f>IFERROR(AVERAGEIFS($B$2:$B31,$A$2:$A31,"&gt;="&amp;(A31-6),$A$2:$A31,"&lt;="&amp;A31),"")</f>
        <v/>
      </c>
      <c r="M31" s="31">
        <f>IFERROR(AVERAGEIFS($C$2:$C31,$A$2:$A31,"&gt;="&amp;(A31-6),$A$2:$A31,"&lt;="&amp;A31),"")</f>
        <v/>
      </c>
    </row>
    <row r="32">
      <c r="A32" s="32" t="n">
        <v>46278</v>
      </c>
      <c r="B32" s="30" t="n"/>
      <c r="C32" s="18" t="n"/>
      <c r="D32" s="18" t="n"/>
      <c r="E32" s="18" t="n"/>
      <c r="F32" s="18" t="n"/>
      <c r="G32" s="18" t="n"/>
      <c r="H32" s="18" t="n"/>
      <c r="I32" s="18" t="n"/>
      <c r="J32" s="31">
        <f>IF(C32="","",C32-Targets!$B$12)</f>
        <v/>
      </c>
      <c r="K32" s="31">
        <f>IF(D32="","",D32-Targets!$B$13)</f>
        <v/>
      </c>
      <c r="L32" s="31">
        <f>IFERROR(AVERAGEIFS($B$2:$B32,$A$2:$A32,"&gt;="&amp;(A32-6),$A$2:$A32,"&lt;="&amp;A32),"")</f>
        <v/>
      </c>
      <c r="M32" s="31">
        <f>IFERROR(AVERAGEIFS($C$2:$C32,$A$2:$A32,"&gt;="&amp;(A32-6),$A$2:$A32,"&lt;="&amp;A32),"")</f>
        <v/>
      </c>
    </row>
    <row r="33">
      <c r="A33" s="32" t="n">
        <v>46279</v>
      </c>
      <c r="B33" s="30" t="n"/>
      <c r="C33" s="18" t="n"/>
      <c r="D33" s="18" t="n"/>
      <c r="E33" s="18" t="n"/>
      <c r="F33" s="18" t="n"/>
      <c r="G33" s="18" t="n"/>
      <c r="H33" s="18" t="n"/>
      <c r="I33" s="18" t="n"/>
      <c r="J33" s="31">
        <f>IF(C33="","",C33-Targets!$B$12)</f>
        <v/>
      </c>
      <c r="K33" s="31">
        <f>IF(D33="","",D33-Targets!$B$13)</f>
        <v/>
      </c>
      <c r="L33" s="31">
        <f>IFERROR(AVERAGEIFS($B$2:$B33,$A$2:$A33,"&gt;="&amp;(A33-6),$A$2:$A33,"&lt;="&amp;A33),"")</f>
        <v/>
      </c>
      <c r="M33" s="31">
        <f>IFERROR(AVERAGEIFS($C$2:$C33,$A$2:$A33,"&gt;="&amp;(A33-6),$A$2:$A33,"&lt;="&amp;A33),"")</f>
        <v/>
      </c>
    </row>
    <row r="34">
      <c r="A34" s="32" t="n">
        <v>46280</v>
      </c>
      <c r="B34" s="30" t="n"/>
      <c r="C34" s="18" t="n"/>
      <c r="D34" s="18" t="n"/>
      <c r="E34" s="18" t="n"/>
      <c r="F34" s="18" t="n"/>
      <c r="G34" s="18" t="n"/>
      <c r="H34" s="18" t="n"/>
      <c r="I34" s="18" t="n"/>
      <c r="J34" s="31">
        <f>IF(C34="","",C34-Targets!$B$12)</f>
        <v/>
      </c>
      <c r="K34" s="31">
        <f>IF(D34="","",D34-Targets!$B$13)</f>
        <v/>
      </c>
      <c r="L34" s="31">
        <f>IFERROR(AVERAGEIFS($B$2:$B34,$A$2:$A34,"&gt;="&amp;(A34-6),$A$2:$A34,"&lt;="&amp;A34),"")</f>
        <v/>
      </c>
      <c r="M34" s="31">
        <f>IFERROR(AVERAGEIFS($C$2:$C34,$A$2:$A34,"&gt;="&amp;(A34-6),$A$2:$A34,"&lt;="&amp;A34),"")</f>
        <v/>
      </c>
    </row>
    <row r="35">
      <c r="A35" s="32" t="n">
        <v>46281</v>
      </c>
      <c r="B35" s="30" t="n"/>
      <c r="C35" s="18" t="n"/>
      <c r="D35" s="18" t="n"/>
      <c r="E35" s="18" t="n"/>
      <c r="F35" s="18" t="n"/>
      <c r="G35" s="18" t="n"/>
      <c r="H35" s="18" t="n"/>
      <c r="I35" s="18" t="n"/>
      <c r="J35" s="31">
        <f>IF(C35="","",C35-Targets!$B$12)</f>
        <v/>
      </c>
      <c r="K35" s="31">
        <f>IF(D35="","",D35-Targets!$B$13)</f>
        <v/>
      </c>
      <c r="L35" s="31">
        <f>IFERROR(AVERAGEIFS($B$2:$B35,$A$2:$A35,"&gt;="&amp;(A35-6),$A$2:$A35,"&lt;="&amp;A35),"")</f>
        <v/>
      </c>
      <c r="M35" s="31">
        <f>IFERROR(AVERAGEIFS($C$2:$C35,$A$2:$A35,"&gt;="&amp;(A35-6),$A$2:$A35,"&lt;="&amp;A35),"")</f>
        <v/>
      </c>
    </row>
    <row r="36">
      <c r="A36" s="32" t="n">
        <v>46282</v>
      </c>
      <c r="B36" s="30" t="n"/>
      <c r="C36" s="18" t="n"/>
      <c r="D36" s="18" t="n"/>
      <c r="E36" s="18" t="n"/>
      <c r="F36" s="18" t="n"/>
      <c r="G36" s="18" t="n"/>
      <c r="H36" s="18" t="n"/>
      <c r="I36" s="18" t="n"/>
      <c r="J36" s="31">
        <f>IF(C36="","",C36-Targets!$B$12)</f>
        <v/>
      </c>
      <c r="K36" s="31">
        <f>IF(D36="","",D36-Targets!$B$13)</f>
        <v/>
      </c>
      <c r="L36" s="31">
        <f>IFERROR(AVERAGEIFS($B$2:$B36,$A$2:$A36,"&gt;="&amp;(A36-6),$A$2:$A36,"&lt;="&amp;A36),"")</f>
        <v/>
      </c>
      <c r="M36" s="31">
        <f>IFERROR(AVERAGEIFS($C$2:$C36,$A$2:$A36,"&gt;="&amp;(A36-6),$A$2:$A36,"&lt;="&amp;A36),"")</f>
        <v/>
      </c>
    </row>
    <row r="37">
      <c r="A37" s="32" t="n">
        <v>46283</v>
      </c>
      <c r="B37" s="30" t="n"/>
      <c r="C37" s="18" t="n"/>
      <c r="D37" s="18" t="n"/>
      <c r="E37" s="18" t="n"/>
      <c r="F37" s="18" t="n"/>
      <c r="G37" s="18" t="n"/>
      <c r="H37" s="18" t="n"/>
      <c r="I37" s="18" t="n"/>
      <c r="J37" s="31">
        <f>IF(C37="","",C37-Targets!$B$12)</f>
        <v/>
      </c>
      <c r="K37" s="31">
        <f>IF(D37="","",D37-Targets!$B$13)</f>
        <v/>
      </c>
      <c r="L37" s="31">
        <f>IFERROR(AVERAGEIFS($B$2:$B37,$A$2:$A37,"&gt;="&amp;(A37-6),$A$2:$A37,"&lt;="&amp;A37),"")</f>
        <v/>
      </c>
      <c r="M37" s="31">
        <f>IFERROR(AVERAGEIFS($C$2:$C37,$A$2:$A37,"&gt;="&amp;(A37-6),$A$2:$A37,"&lt;="&amp;A37),"")</f>
        <v/>
      </c>
    </row>
    <row r="38">
      <c r="A38" s="32" t="n">
        <v>46284</v>
      </c>
      <c r="B38" s="30" t="n"/>
      <c r="C38" s="18" t="n"/>
      <c r="D38" s="18" t="n"/>
      <c r="E38" s="18" t="n"/>
      <c r="F38" s="18" t="n"/>
      <c r="G38" s="18" t="n"/>
      <c r="H38" s="18" t="n"/>
      <c r="I38" s="18" t="n"/>
      <c r="J38" s="31">
        <f>IF(C38="","",C38-Targets!$B$12)</f>
        <v/>
      </c>
      <c r="K38" s="31">
        <f>IF(D38="","",D38-Targets!$B$13)</f>
        <v/>
      </c>
      <c r="L38" s="31">
        <f>IFERROR(AVERAGEIFS($B$2:$B38,$A$2:$A38,"&gt;="&amp;(A38-6),$A$2:$A38,"&lt;="&amp;A38),"")</f>
        <v/>
      </c>
      <c r="M38" s="31">
        <f>IFERROR(AVERAGEIFS($C$2:$C38,$A$2:$A38,"&gt;="&amp;(A38-6),$A$2:$A38,"&lt;="&amp;A38),"")</f>
        <v/>
      </c>
    </row>
    <row r="39">
      <c r="A39" s="32" t="n">
        <v>46285</v>
      </c>
      <c r="B39" s="30" t="n"/>
      <c r="C39" s="18" t="n"/>
      <c r="D39" s="18" t="n"/>
      <c r="E39" s="18" t="n"/>
      <c r="F39" s="18" t="n"/>
      <c r="G39" s="18" t="n"/>
      <c r="H39" s="18" t="n"/>
      <c r="I39" s="18" t="n"/>
      <c r="J39" s="31">
        <f>IF(C39="","",C39-Targets!$B$12)</f>
        <v/>
      </c>
      <c r="K39" s="31">
        <f>IF(D39="","",D39-Targets!$B$13)</f>
        <v/>
      </c>
      <c r="L39" s="31">
        <f>IFERROR(AVERAGEIFS($B$2:$B39,$A$2:$A39,"&gt;="&amp;(A39-6),$A$2:$A39,"&lt;="&amp;A39),"")</f>
        <v/>
      </c>
      <c r="M39" s="31">
        <f>IFERROR(AVERAGEIFS($C$2:$C39,$A$2:$A39,"&gt;="&amp;(A39-6),$A$2:$A39,"&lt;="&amp;A39),"")</f>
        <v/>
      </c>
    </row>
    <row r="40">
      <c r="A40" s="32" t="n">
        <v>46286</v>
      </c>
      <c r="B40" s="30" t="n"/>
      <c r="C40" s="18" t="n"/>
      <c r="D40" s="18" t="n"/>
      <c r="E40" s="18" t="n"/>
      <c r="F40" s="18" t="n"/>
      <c r="G40" s="18" t="n"/>
      <c r="H40" s="18" t="n"/>
      <c r="I40" s="18" t="n"/>
      <c r="J40" s="31">
        <f>IF(C40="","",C40-Targets!$B$12)</f>
        <v/>
      </c>
      <c r="K40" s="31">
        <f>IF(D40="","",D40-Targets!$B$13)</f>
        <v/>
      </c>
      <c r="L40" s="31">
        <f>IFERROR(AVERAGEIFS($B$2:$B40,$A$2:$A40,"&gt;="&amp;(A40-6),$A$2:$A40,"&lt;="&amp;A40),"")</f>
        <v/>
      </c>
      <c r="M40" s="31">
        <f>IFERROR(AVERAGEIFS($C$2:$C40,$A$2:$A40,"&gt;="&amp;(A40-6),$A$2:$A40,"&lt;="&amp;A40),"")</f>
        <v/>
      </c>
    </row>
    <row r="41">
      <c r="A41" s="32" t="n">
        <v>46287</v>
      </c>
      <c r="B41" s="30" t="n"/>
      <c r="C41" s="18" t="n"/>
      <c r="D41" s="18" t="n"/>
      <c r="E41" s="18" t="n"/>
      <c r="F41" s="18" t="n"/>
      <c r="G41" s="18" t="n"/>
      <c r="H41" s="18" t="n"/>
      <c r="I41" s="18" t="n"/>
      <c r="J41" s="31">
        <f>IF(C41="","",C41-Targets!$B$12)</f>
        <v/>
      </c>
      <c r="K41" s="31">
        <f>IF(D41="","",D41-Targets!$B$13)</f>
        <v/>
      </c>
      <c r="L41" s="31">
        <f>IFERROR(AVERAGEIFS($B$2:$B41,$A$2:$A41,"&gt;="&amp;(A41-6),$A$2:$A41,"&lt;="&amp;A41),"")</f>
        <v/>
      </c>
      <c r="M41" s="31">
        <f>IFERROR(AVERAGEIFS($C$2:$C41,$A$2:$A41,"&gt;="&amp;(A41-6),$A$2:$A41,"&lt;="&amp;A41),"")</f>
        <v/>
      </c>
    </row>
    <row r="42">
      <c r="A42" s="32" t="n">
        <v>46288</v>
      </c>
      <c r="B42" s="30" t="n"/>
      <c r="C42" s="18" t="n"/>
      <c r="D42" s="18" t="n"/>
      <c r="E42" s="18" t="n"/>
      <c r="F42" s="18" t="n"/>
      <c r="G42" s="18" t="n"/>
      <c r="H42" s="18" t="n"/>
      <c r="I42" s="18" t="n"/>
      <c r="J42" s="31">
        <f>IF(C42="","",C42-Targets!$B$12)</f>
        <v/>
      </c>
      <c r="K42" s="31">
        <f>IF(D42="","",D42-Targets!$B$13)</f>
        <v/>
      </c>
      <c r="L42" s="31">
        <f>IFERROR(AVERAGEIFS($B$2:$B42,$A$2:$A42,"&gt;="&amp;(A42-6),$A$2:$A42,"&lt;="&amp;A42),"")</f>
        <v/>
      </c>
      <c r="M42" s="31">
        <f>IFERROR(AVERAGEIFS($C$2:$C42,$A$2:$A42,"&gt;="&amp;(A42-6),$A$2:$A42,"&lt;="&amp;A42),"")</f>
        <v/>
      </c>
    </row>
    <row r="43">
      <c r="A43" s="32" t="n">
        <v>46289</v>
      </c>
      <c r="B43" s="30" t="n"/>
      <c r="C43" s="18" t="n"/>
      <c r="D43" s="18" t="n"/>
      <c r="E43" s="18" t="n"/>
      <c r="F43" s="18" t="n"/>
      <c r="G43" s="18" t="n"/>
      <c r="H43" s="18" t="n"/>
      <c r="I43" s="18" t="n"/>
      <c r="J43" s="31">
        <f>IF(C43="","",C43-Targets!$B$12)</f>
        <v/>
      </c>
      <c r="K43" s="31">
        <f>IF(D43="","",D43-Targets!$B$13)</f>
        <v/>
      </c>
      <c r="L43" s="31">
        <f>IFERROR(AVERAGEIFS($B$2:$B43,$A$2:$A43,"&gt;="&amp;(A43-6),$A$2:$A43,"&lt;="&amp;A43),"")</f>
        <v/>
      </c>
      <c r="M43" s="31">
        <f>IFERROR(AVERAGEIFS($C$2:$C43,$A$2:$A43,"&gt;="&amp;(A43-6),$A$2:$A43,"&lt;="&amp;A43),"")</f>
        <v/>
      </c>
    </row>
    <row r="44">
      <c r="A44" s="32" t="n">
        <v>46290</v>
      </c>
      <c r="B44" s="30" t="n"/>
      <c r="C44" s="18" t="n"/>
      <c r="D44" s="18" t="n"/>
      <c r="E44" s="18" t="n"/>
      <c r="F44" s="18" t="n"/>
      <c r="G44" s="18" t="n"/>
      <c r="H44" s="18" t="n"/>
      <c r="I44" s="18" t="n"/>
      <c r="J44" s="31">
        <f>IF(C44="","",C44-Targets!$B$12)</f>
        <v/>
      </c>
      <c r="K44" s="31">
        <f>IF(D44="","",D44-Targets!$B$13)</f>
        <v/>
      </c>
      <c r="L44" s="31">
        <f>IFERROR(AVERAGEIFS($B$2:$B44,$A$2:$A44,"&gt;="&amp;(A44-6),$A$2:$A44,"&lt;="&amp;A44),"")</f>
        <v/>
      </c>
      <c r="M44" s="31">
        <f>IFERROR(AVERAGEIFS($C$2:$C44,$A$2:$A44,"&gt;="&amp;(A44-6),$A$2:$A44,"&lt;="&amp;A44),"")</f>
        <v/>
      </c>
    </row>
    <row r="45">
      <c r="A45" s="32" t="n">
        <v>46291</v>
      </c>
      <c r="B45" s="30" t="n"/>
      <c r="C45" s="18" t="n"/>
      <c r="D45" s="18" t="n"/>
      <c r="E45" s="18" t="n"/>
      <c r="F45" s="18" t="n"/>
      <c r="G45" s="18" t="n"/>
      <c r="H45" s="18" t="n"/>
      <c r="I45" s="18" t="n"/>
      <c r="J45" s="31">
        <f>IF(C45="","",C45-Targets!$B$12)</f>
        <v/>
      </c>
      <c r="K45" s="31">
        <f>IF(D45="","",D45-Targets!$B$13)</f>
        <v/>
      </c>
      <c r="L45" s="31">
        <f>IFERROR(AVERAGEIFS($B$2:$B45,$A$2:$A45,"&gt;="&amp;(A45-6),$A$2:$A45,"&lt;="&amp;A45),"")</f>
        <v/>
      </c>
      <c r="M45" s="31">
        <f>IFERROR(AVERAGEIFS($C$2:$C45,$A$2:$A45,"&gt;="&amp;(A45-6),$A$2:$A45,"&lt;="&amp;A45),"")</f>
        <v/>
      </c>
    </row>
    <row r="46">
      <c r="A46" s="32" t="n">
        <v>46292</v>
      </c>
      <c r="B46" s="30" t="n"/>
      <c r="C46" s="18" t="n"/>
      <c r="D46" s="18" t="n"/>
      <c r="E46" s="18" t="n"/>
      <c r="F46" s="18" t="n"/>
      <c r="G46" s="18" t="n"/>
      <c r="H46" s="18" t="n"/>
      <c r="I46" s="18" t="n"/>
      <c r="J46" s="31">
        <f>IF(C46="","",C46-Targets!$B$12)</f>
        <v/>
      </c>
      <c r="K46" s="31">
        <f>IF(D46="","",D46-Targets!$B$13)</f>
        <v/>
      </c>
      <c r="L46" s="31">
        <f>IFERROR(AVERAGEIFS($B$2:$B46,$A$2:$A46,"&gt;="&amp;(A46-6),$A$2:$A46,"&lt;="&amp;A46),"")</f>
        <v/>
      </c>
      <c r="M46" s="31">
        <f>IFERROR(AVERAGEIFS($C$2:$C46,$A$2:$A46,"&gt;="&amp;(A46-6),$A$2:$A46,"&lt;="&amp;A46),"")</f>
        <v/>
      </c>
    </row>
    <row r="47">
      <c r="A47" s="32" t="n">
        <v>46293</v>
      </c>
      <c r="B47" s="30" t="n"/>
      <c r="C47" s="18" t="n"/>
      <c r="D47" s="18" t="n"/>
      <c r="E47" s="18" t="n"/>
      <c r="F47" s="18" t="n"/>
      <c r="G47" s="18" t="n"/>
      <c r="H47" s="18" t="n"/>
      <c r="I47" s="18" t="n"/>
      <c r="J47" s="31">
        <f>IF(C47="","",C47-Targets!$B$12)</f>
        <v/>
      </c>
      <c r="K47" s="31">
        <f>IF(D47="","",D47-Targets!$B$13)</f>
        <v/>
      </c>
      <c r="L47" s="31">
        <f>IFERROR(AVERAGEIFS($B$2:$B47,$A$2:$A47,"&gt;="&amp;(A47-6),$A$2:$A47,"&lt;="&amp;A47),"")</f>
        <v/>
      </c>
      <c r="M47" s="31">
        <f>IFERROR(AVERAGEIFS($C$2:$C47,$A$2:$A47,"&gt;="&amp;(A47-6),$A$2:$A47,"&lt;="&amp;A47),"")</f>
        <v/>
      </c>
    </row>
    <row r="48">
      <c r="A48" s="32" t="n">
        <v>46294</v>
      </c>
      <c r="B48" s="30" t="n"/>
      <c r="C48" s="18" t="n"/>
      <c r="D48" s="18" t="n"/>
      <c r="E48" s="18" t="n"/>
      <c r="F48" s="18" t="n"/>
      <c r="G48" s="18" t="n"/>
      <c r="H48" s="18" t="n"/>
      <c r="I48" s="18" t="n"/>
      <c r="J48" s="31">
        <f>IF(C48="","",C48-Targets!$B$12)</f>
        <v/>
      </c>
      <c r="K48" s="31">
        <f>IF(D48="","",D48-Targets!$B$13)</f>
        <v/>
      </c>
      <c r="L48" s="31">
        <f>IFERROR(AVERAGEIFS($B$2:$B48,$A$2:$A48,"&gt;="&amp;(A48-6),$A$2:$A48,"&lt;="&amp;A48),"")</f>
        <v/>
      </c>
      <c r="M48" s="31">
        <f>IFERROR(AVERAGEIFS($C$2:$C48,$A$2:$A48,"&gt;="&amp;(A48-6),$A$2:$A48,"&lt;="&amp;A48),"")</f>
        <v/>
      </c>
    </row>
    <row r="49">
      <c r="A49" s="32" t="n">
        <v>46295</v>
      </c>
      <c r="B49" s="30" t="n"/>
      <c r="C49" s="18" t="n"/>
      <c r="D49" s="18" t="n"/>
      <c r="E49" s="18" t="n"/>
      <c r="F49" s="18" t="n"/>
      <c r="G49" s="18" t="n"/>
      <c r="H49" s="18" t="n"/>
      <c r="I49" s="18" t="n"/>
      <c r="J49" s="31">
        <f>IF(C49="","",C49-Targets!$B$12)</f>
        <v/>
      </c>
      <c r="K49" s="31">
        <f>IF(D49="","",D49-Targets!$B$13)</f>
        <v/>
      </c>
      <c r="L49" s="31">
        <f>IFERROR(AVERAGEIFS($B$2:$B49,$A$2:$A49,"&gt;="&amp;(A49-6),$A$2:$A49,"&lt;="&amp;A49),"")</f>
        <v/>
      </c>
      <c r="M49" s="31">
        <f>IFERROR(AVERAGEIFS($C$2:$C49,$A$2:$A49,"&gt;="&amp;(A49-6),$A$2:$A49,"&lt;="&amp;A49),"")</f>
        <v/>
      </c>
    </row>
    <row r="50">
      <c r="A50" s="32" t="n">
        <v>46296</v>
      </c>
      <c r="B50" s="30" t="n"/>
      <c r="C50" s="18" t="n"/>
      <c r="D50" s="18" t="n"/>
      <c r="E50" s="18" t="n"/>
      <c r="F50" s="18" t="n"/>
      <c r="G50" s="18" t="n"/>
      <c r="H50" s="18" t="n"/>
      <c r="I50" s="18" t="n"/>
      <c r="J50" s="31">
        <f>IF(C50="","",C50-Targets!$B$12)</f>
        <v/>
      </c>
      <c r="K50" s="31">
        <f>IF(D50="","",D50-Targets!$B$13)</f>
        <v/>
      </c>
      <c r="L50" s="31">
        <f>IFERROR(AVERAGEIFS($B$2:$B50,$A$2:$A50,"&gt;="&amp;(A50-6),$A$2:$A50,"&lt;="&amp;A50),"")</f>
        <v/>
      </c>
      <c r="M50" s="31">
        <f>IFERROR(AVERAGEIFS($C$2:$C50,$A$2:$A50,"&gt;="&amp;(A50-6),$A$2:$A50,"&lt;="&amp;A50),"")</f>
        <v/>
      </c>
    </row>
    <row r="51">
      <c r="A51" s="32" t="n">
        <v>46297</v>
      </c>
      <c r="B51" s="30" t="n"/>
      <c r="C51" s="18" t="n"/>
      <c r="D51" s="18" t="n"/>
      <c r="E51" s="18" t="n"/>
      <c r="F51" s="18" t="n"/>
      <c r="G51" s="18" t="n"/>
      <c r="H51" s="18" t="n"/>
      <c r="I51" s="18" t="n"/>
      <c r="J51" s="31">
        <f>IF(C51="","",C51-Targets!$B$12)</f>
        <v/>
      </c>
      <c r="K51" s="31">
        <f>IF(D51="","",D51-Targets!$B$13)</f>
        <v/>
      </c>
      <c r="L51" s="31">
        <f>IFERROR(AVERAGEIFS($B$2:$B51,$A$2:$A51,"&gt;="&amp;(A51-6),$A$2:$A51,"&lt;="&amp;A51),"")</f>
        <v/>
      </c>
      <c r="M51" s="31">
        <f>IFERROR(AVERAGEIFS($C$2:$C51,$A$2:$A51,"&gt;="&amp;(A51-6),$A$2:$A51,"&lt;="&amp;A51),"")</f>
        <v/>
      </c>
    </row>
    <row r="52">
      <c r="A52" s="32" t="n">
        <v>46298</v>
      </c>
      <c r="B52" s="30" t="n"/>
      <c r="C52" s="18" t="n"/>
      <c r="D52" s="18" t="n"/>
      <c r="E52" s="18" t="n"/>
      <c r="F52" s="18" t="n"/>
      <c r="G52" s="18" t="n"/>
      <c r="H52" s="18" t="n"/>
      <c r="I52" s="18" t="n"/>
      <c r="J52" s="31">
        <f>IF(C52="","",C52-Targets!$B$12)</f>
        <v/>
      </c>
      <c r="K52" s="31">
        <f>IF(D52="","",D52-Targets!$B$13)</f>
        <v/>
      </c>
      <c r="L52" s="31">
        <f>IFERROR(AVERAGEIFS($B$2:$B52,$A$2:$A52,"&gt;="&amp;(A52-6),$A$2:$A52,"&lt;="&amp;A52),"")</f>
        <v/>
      </c>
      <c r="M52" s="31">
        <f>IFERROR(AVERAGEIFS($C$2:$C52,$A$2:$A52,"&gt;="&amp;(A52-6),$A$2:$A52,"&lt;="&amp;A52),"")</f>
        <v/>
      </c>
    </row>
    <row r="53">
      <c r="A53" s="32" t="n">
        <v>46299</v>
      </c>
      <c r="B53" s="30" t="n"/>
      <c r="C53" s="18" t="n"/>
      <c r="D53" s="18" t="n"/>
      <c r="E53" s="18" t="n"/>
      <c r="F53" s="18" t="n"/>
      <c r="G53" s="18" t="n"/>
      <c r="H53" s="18" t="n"/>
      <c r="I53" s="18" t="n"/>
      <c r="J53" s="31">
        <f>IF(C53="","",C53-Targets!$B$12)</f>
        <v/>
      </c>
      <c r="K53" s="31">
        <f>IF(D53="","",D53-Targets!$B$13)</f>
        <v/>
      </c>
      <c r="L53" s="31">
        <f>IFERROR(AVERAGEIFS($B$2:$B53,$A$2:$A53,"&gt;="&amp;(A53-6),$A$2:$A53,"&lt;="&amp;A53),"")</f>
        <v/>
      </c>
      <c r="M53" s="31">
        <f>IFERROR(AVERAGEIFS($C$2:$C53,$A$2:$A53,"&gt;="&amp;(A53-6),$A$2:$A53,"&lt;="&amp;A53),"")</f>
        <v/>
      </c>
    </row>
    <row r="54">
      <c r="A54" s="32" t="n">
        <v>46300</v>
      </c>
      <c r="B54" s="30" t="n"/>
      <c r="C54" s="18" t="n"/>
      <c r="D54" s="18" t="n"/>
      <c r="E54" s="18" t="n"/>
      <c r="F54" s="18" t="n"/>
      <c r="G54" s="18" t="n"/>
      <c r="H54" s="18" t="n"/>
      <c r="I54" s="18" t="n"/>
      <c r="J54" s="31">
        <f>IF(C54="","",C54-Targets!$B$12)</f>
        <v/>
      </c>
      <c r="K54" s="31">
        <f>IF(D54="","",D54-Targets!$B$13)</f>
        <v/>
      </c>
      <c r="L54" s="31">
        <f>IFERROR(AVERAGEIFS($B$2:$B54,$A$2:$A54,"&gt;="&amp;(A54-6),$A$2:$A54,"&lt;="&amp;A54),"")</f>
        <v/>
      </c>
      <c r="M54" s="31">
        <f>IFERROR(AVERAGEIFS($C$2:$C54,$A$2:$A54,"&gt;="&amp;(A54-6),$A$2:$A54,"&lt;="&amp;A54),"")</f>
        <v/>
      </c>
    </row>
    <row r="55">
      <c r="A55" s="32" t="n">
        <v>46301</v>
      </c>
      <c r="B55" s="30" t="n"/>
      <c r="C55" s="18" t="n"/>
      <c r="D55" s="18" t="n"/>
      <c r="E55" s="18" t="n"/>
      <c r="F55" s="18" t="n"/>
      <c r="G55" s="18" t="n"/>
      <c r="H55" s="18" t="n"/>
      <c r="I55" s="18" t="n"/>
      <c r="J55" s="31">
        <f>IF(C55="","",C55-Targets!$B$12)</f>
        <v/>
      </c>
      <c r="K55" s="31">
        <f>IF(D55="","",D55-Targets!$B$13)</f>
        <v/>
      </c>
      <c r="L55" s="31">
        <f>IFERROR(AVERAGEIFS($B$2:$B55,$A$2:$A55,"&gt;="&amp;(A55-6),$A$2:$A55,"&lt;="&amp;A55),"")</f>
        <v/>
      </c>
      <c r="M55" s="31">
        <f>IFERROR(AVERAGEIFS($C$2:$C55,$A$2:$A55,"&gt;="&amp;(A55-6),$A$2:$A55,"&lt;="&amp;A55),"")</f>
        <v/>
      </c>
    </row>
    <row r="56">
      <c r="A56" s="32" t="n">
        <v>46302</v>
      </c>
      <c r="B56" s="30" t="n"/>
      <c r="C56" s="18" t="n"/>
      <c r="D56" s="18" t="n"/>
      <c r="E56" s="18" t="n"/>
      <c r="F56" s="18" t="n"/>
      <c r="G56" s="18" t="n"/>
      <c r="H56" s="18" t="n"/>
      <c r="I56" s="18" t="n"/>
      <c r="J56" s="31">
        <f>IF(C56="","",C56-Targets!$B$12)</f>
        <v/>
      </c>
      <c r="K56" s="31">
        <f>IF(D56="","",D56-Targets!$B$13)</f>
        <v/>
      </c>
      <c r="L56" s="31">
        <f>IFERROR(AVERAGEIFS($B$2:$B56,$A$2:$A56,"&gt;="&amp;(A56-6),$A$2:$A56,"&lt;="&amp;A56),"")</f>
        <v/>
      </c>
      <c r="M56" s="31">
        <f>IFERROR(AVERAGEIFS($C$2:$C56,$A$2:$A56,"&gt;="&amp;(A56-6),$A$2:$A56,"&lt;="&amp;A56),"")</f>
        <v/>
      </c>
    </row>
    <row r="57">
      <c r="A57" s="32" t="n">
        <v>46303</v>
      </c>
      <c r="B57" s="30" t="n"/>
      <c r="C57" s="18" t="n"/>
      <c r="D57" s="18" t="n"/>
      <c r="E57" s="18" t="n"/>
      <c r="F57" s="18" t="n"/>
      <c r="G57" s="18" t="n"/>
      <c r="H57" s="18" t="n"/>
      <c r="I57" s="18" t="n"/>
      <c r="J57" s="31">
        <f>IF(C57="","",C57-Targets!$B$12)</f>
        <v/>
      </c>
      <c r="K57" s="31">
        <f>IF(D57="","",D57-Targets!$B$13)</f>
        <v/>
      </c>
      <c r="L57" s="31">
        <f>IFERROR(AVERAGEIFS($B$2:$B57,$A$2:$A57,"&gt;="&amp;(A57-6),$A$2:$A57,"&lt;="&amp;A57),"")</f>
        <v/>
      </c>
      <c r="M57" s="31">
        <f>IFERROR(AVERAGEIFS($C$2:$C57,$A$2:$A57,"&gt;="&amp;(A57-6),$A$2:$A57,"&lt;="&amp;A57),"")</f>
        <v/>
      </c>
    </row>
    <row r="58">
      <c r="A58" s="32" t="n">
        <v>46304</v>
      </c>
      <c r="B58" s="30" t="n"/>
      <c r="C58" s="18" t="n"/>
      <c r="D58" s="18" t="n"/>
      <c r="E58" s="18" t="n"/>
      <c r="F58" s="18" t="n"/>
      <c r="G58" s="18" t="n"/>
      <c r="H58" s="18" t="n"/>
      <c r="I58" s="18" t="n"/>
      <c r="J58" s="31">
        <f>IF(C58="","",C58-Targets!$B$12)</f>
        <v/>
      </c>
      <c r="K58" s="31">
        <f>IF(D58="","",D58-Targets!$B$13)</f>
        <v/>
      </c>
      <c r="L58" s="31">
        <f>IFERROR(AVERAGEIFS($B$2:$B58,$A$2:$A58,"&gt;="&amp;(A58-6),$A$2:$A58,"&lt;="&amp;A58),"")</f>
        <v/>
      </c>
      <c r="M58" s="31">
        <f>IFERROR(AVERAGEIFS($C$2:$C58,$A$2:$A58,"&gt;="&amp;(A58-6),$A$2:$A58,"&lt;="&amp;A58),"")</f>
        <v/>
      </c>
    </row>
    <row r="59">
      <c r="A59" s="32" t="n">
        <v>46305</v>
      </c>
      <c r="B59" s="30" t="n"/>
      <c r="C59" s="18" t="n"/>
      <c r="D59" s="18" t="n"/>
      <c r="E59" s="18" t="n"/>
      <c r="F59" s="18" t="n"/>
      <c r="G59" s="18" t="n"/>
      <c r="H59" s="18" t="n"/>
      <c r="I59" s="18" t="n"/>
      <c r="J59" s="31">
        <f>IF(C59="","",C59-Targets!$B$12)</f>
        <v/>
      </c>
      <c r="K59" s="31">
        <f>IF(D59="","",D59-Targets!$B$13)</f>
        <v/>
      </c>
      <c r="L59" s="31">
        <f>IFERROR(AVERAGEIFS($B$2:$B59,$A$2:$A59,"&gt;="&amp;(A59-6),$A$2:$A59,"&lt;="&amp;A59),"")</f>
        <v/>
      </c>
      <c r="M59" s="31">
        <f>IFERROR(AVERAGEIFS($C$2:$C59,$A$2:$A59,"&gt;="&amp;(A59-6),$A$2:$A59,"&lt;="&amp;A59),"")</f>
        <v/>
      </c>
    </row>
    <row r="60">
      <c r="A60" s="32" t="n">
        <v>46306</v>
      </c>
      <c r="B60" s="30" t="n"/>
      <c r="C60" s="18" t="n"/>
      <c r="D60" s="18" t="n"/>
      <c r="E60" s="18" t="n"/>
      <c r="F60" s="18" t="n"/>
      <c r="G60" s="18" t="n"/>
      <c r="H60" s="18" t="n"/>
      <c r="I60" s="18" t="n"/>
      <c r="J60" s="31">
        <f>IF(C60="","",C60-Targets!$B$12)</f>
        <v/>
      </c>
      <c r="K60" s="31">
        <f>IF(D60="","",D60-Targets!$B$13)</f>
        <v/>
      </c>
      <c r="L60" s="31">
        <f>IFERROR(AVERAGEIFS($B$2:$B60,$A$2:$A60,"&gt;="&amp;(A60-6),$A$2:$A60,"&lt;="&amp;A60),"")</f>
        <v/>
      </c>
      <c r="M60" s="31">
        <f>IFERROR(AVERAGEIFS($C$2:$C60,$A$2:$A60,"&gt;="&amp;(A60-6),$A$2:$A60,"&lt;="&amp;A60),"")</f>
        <v/>
      </c>
    </row>
    <row r="61">
      <c r="A61" s="32" t="n">
        <v>46307</v>
      </c>
      <c r="B61" s="30" t="n"/>
      <c r="C61" s="18" t="n"/>
      <c r="D61" s="18" t="n"/>
      <c r="E61" s="18" t="n"/>
      <c r="F61" s="18" t="n"/>
      <c r="G61" s="18" t="n"/>
      <c r="H61" s="18" t="n"/>
      <c r="I61" s="18" t="n"/>
      <c r="J61" s="31">
        <f>IF(C61="","",C61-Targets!$B$12)</f>
        <v/>
      </c>
      <c r="K61" s="31">
        <f>IF(D61="","",D61-Targets!$B$13)</f>
        <v/>
      </c>
      <c r="L61" s="31">
        <f>IFERROR(AVERAGEIFS($B$2:$B61,$A$2:$A61,"&gt;="&amp;(A61-6),$A$2:$A61,"&lt;="&amp;A61),"")</f>
        <v/>
      </c>
      <c r="M61" s="31">
        <f>IFERROR(AVERAGEIFS($C$2:$C61,$A$2:$A61,"&gt;="&amp;(A61-6),$A$2:$A61,"&lt;="&amp;A61),"")</f>
        <v/>
      </c>
    </row>
    <row r="62">
      <c r="A62" s="32" t="n">
        <v>46308</v>
      </c>
      <c r="B62" s="30" t="n"/>
      <c r="C62" s="18" t="n"/>
      <c r="D62" s="18" t="n"/>
      <c r="E62" s="18" t="n"/>
      <c r="F62" s="18" t="n"/>
      <c r="G62" s="18" t="n"/>
      <c r="H62" s="18" t="n"/>
      <c r="I62" s="18" t="n"/>
      <c r="J62" s="31">
        <f>IF(C62="","",C62-Targets!$B$12)</f>
        <v/>
      </c>
      <c r="K62" s="31">
        <f>IF(D62="","",D62-Targets!$B$13)</f>
        <v/>
      </c>
      <c r="L62" s="31">
        <f>IFERROR(AVERAGEIFS($B$2:$B62,$A$2:$A62,"&gt;="&amp;(A62-6),$A$2:$A62,"&lt;="&amp;A62),"")</f>
        <v/>
      </c>
      <c r="M62" s="31">
        <f>IFERROR(AVERAGEIFS($C$2:$C62,$A$2:$A62,"&gt;="&amp;(A62-6),$A$2:$A62,"&lt;="&amp;A62),"")</f>
        <v/>
      </c>
    </row>
    <row r="63">
      <c r="A63" s="32" t="n">
        <v>46309</v>
      </c>
      <c r="B63" s="30" t="n"/>
      <c r="C63" s="18" t="n"/>
      <c r="D63" s="18" t="n"/>
      <c r="E63" s="18" t="n"/>
      <c r="F63" s="18" t="n"/>
      <c r="G63" s="18" t="n"/>
      <c r="H63" s="18" t="n"/>
      <c r="I63" s="18" t="n"/>
      <c r="J63" s="31">
        <f>IF(C63="","",C63-Targets!$B$12)</f>
        <v/>
      </c>
      <c r="K63" s="31">
        <f>IF(D63="","",D63-Targets!$B$13)</f>
        <v/>
      </c>
      <c r="L63" s="31">
        <f>IFERROR(AVERAGEIFS($B$2:$B63,$A$2:$A63,"&gt;="&amp;(A63-6),$A$2:$A63,"&lt;="&amp;A63),"")</f>
        <v/>
      </c>
      <c r="M63" s="31">
        <f>IFERROR(AVERAGEIFS($C$2:$C63,$A$2:$A63,"&gt;="&amp;(A63-6),$A$2:$A63,"&lt;="&amp;A63),"")</f>
        <v/>
      </c>
    </row>
    <row r="64">
      <c r="A64" s="32" t="n">
        <v>46310</v>
      </c>
      <c r="B64" s="30" t="n"/>
      <c r="C64" s="18" t="n"/>
      <c r="D64" s="18" t="n"/>
      <c r="E64" s="18" t="n"/>
      <c r="F64" s="18" t="n"/>
      <c r="G64" s="18" t="n"/>
      <c r="H64" s="18" t="n"/>
      <c r="I64" s="18" t="n"/>
      <c r="J64" s="31">
        <f>IF(C64="","",C64-Targets!$B$12)</f>
        <v/>
      </c>
      <c r="K64" s="31">
        <f>IF(D64="","",D64-Targets!$B$13)</f>
        <v/>
      </c>
      <c r="L64" s="31">
        <f>IFERROR(AVERAGEIFS($B$2:$B64,$A$2:$A64,"&gt;="&amp;(A64-6),$A$2:$A64,"&lt;="&amp;A64),"")</f>
        <v/>
      </c>
      <c r="M64" s="31">
        <f>IFERROR(AVERAGEIFS($C$2:$C64,$A$2:$A64,"&gt;="&amp;(A64-6),$A$2:$A64,"&lt;="&amp;A64),"")</f>
        <v/>
      </c>
    </row>
    <row r="65">
      <c r="A65" s="32" t="n">
        <v>46311</v>
      </c>
      <c r="B65" s="30" t="n"/>
      <c r="C65" s="18" t="n"/>
      <c r="D65" s="18" t="n"/>
      <c r="E65" s="18" t="n"/>
      <c r="F65" s="18" t="n"/>
      <c r="G65" s="18" t="n"/>
      <c r="H65" s="18" t="n"/>
      <c r="I65" s="18" t="n"/>
      <c r="J65" s="31">
        <f>IF(C65="","",C65-Targets!$B$12)</f>
        <v/>
      </c>
      <c r="K65" s="31">
        <f>IF(D65="","",D65-Targets!$B$13)</f>
        <v/>
      </c>
      <c r="L65" s="31">
        <f>IFERROR(AVERAGEIFS($B$2:$B65,$A$2:$A65,"&gt;="&amp;(A65-6),$A$2:$A65,"&lt;="&amp;A65),"")</f>
        <v/>
      </c>
      <c r="M65" s="31">
        <f>IFERROR(AVERAGEIFS($C$2:$C65,$A$2:$A65,"&gt;="&amp;(A65-6),$A$2:$A65,"&lt;="&amp;A65),"")</f>
        <v/>
      </c>
    </row>
    <row r="66">
      <c r="A66" s="32" t="n">
        <v>46312</v>
      </c>
      <c r="B66" s="30" t="n"/>
      <c r="C66" s="18" t="n"/>
      <c r="D66" s="18" t="n"/>
      <c r="E66" s="18" t="n"/>
      <c r="F66" s="18" t="n"/>
      <c r="G66" s="18" t="n"/>
      <c r="H66" s="18" t="n"/>
      <c r="I66" s="18" t="n"/>
      <c r="J66" s="31">
        <f>IF(C66="","",C66-Targets!$B$12)</f>
        <v/>
      </c>
      <c r="K66" s="31">
        <f>IF(D66="","",D66-Targets!$B$13)</f>
        <v/>
      </c>
      <c r="L66" s="31">
        <f>IFERROR(AVERAGEIFS($B$2:$B66,$A$2:$A66,"&gt;="&amp;(A66-6),$A$2:$A66,"&lt;="&amp;A66),"")</f>
        <v/>
      </c>
      <c r="M66" s="31">
        <f>IFERROR(AVERAGEIFS($C$2:$C66,$A$2:$A66,"&gt;="&amp;(A66-6),$A$2:$A66,"&lt;="&amp;A66),"")</f>
        <v/>
      </c>
    </row>
    <row r="67">
      <c r="A67" s="32" t="n">
        <v>46313</v>
      </c>
      <c r="B67" s="30" t="n"/>
      <c r="C67" s="18" t="n"/>
      <c r="D67" s="18" t="n"/>
      <c r="E67" s="18" t="n"/>
      <c r="F67" s="18" t="n"/>
      <c r="G67" s="18" t="n"/>
      <c r="H67" s="18" t="n"/>
      <c r="I67" s="18" t="n"/>
      <c r="J67" s="31">
        <f>IF(C67="","",C67-Targets!$B$12)</f>
        <v/>
      </c>
      <c r="K67" s="31">
        <f>IF(D67="","",D67-Targets!$B$13)</f>
        <v/>
      </c>
      <c r="L67" s="31">
        <f>IFERROR(AVERAGEIFS($B$2:$B67,$A$2:$A67,"&gt;="&amp;(A67-6),$A$2:$A67,"&lt;="&amp;A67),"")</f>
        <v/>
      </c>
      <c r="M67" s="31">
        <f>IFERROR(AVERAGEIFS($C$2:$C67,$A$2:$A67,"&gt;="&amp;(A67-6),$A$2:$A67,"&lt;="&amp;A67),"")</f>
        <v/>
      </c>
    </row>
    <row r="68">
      <c r="A68" s="32" t="n">
        <v>46314</v>
      </c>
      <c r="B68" s="30" t="n"/>
      <c r="C68" s="18" t="n"/>
      <c r="D68" s="18" t="n"/>
      <c r="E68" s="18" t="n"/>
      <c r="F68" s="18" t="n"/>
      <c r="G68" s="18" t="n"/>
      <c r="H68" s="18" t="n"/>
      <c r="I68" s="18" t="n"/>
      <c r="J68" s="31">
        <f>IF(C68="","",C68-Targets!$B$12)</f>
        <v/>
      </c>
      <c r="K68" s="31">
        <f>IF(D68="","",D68-Targets!$B$13)</f>
        <v/>
      </c>
      <c r="L68" s="31">
        <f>IFERROR(AVERAGEIFS($B$2:$B68,$A$2:$A68,"&gt;="&amp;(A68-6),$A$2:$A68,"&lt;="&amp;A68),"")</f>
        <v/>
      </c>
      <c r="M68" s="31">
        <f>IFERROR(AVERAGEIFS($C$2:$C68,$A$2:$A68,"&gt;="&amp;(A68-6),$A$2:$A68,"&lt;="&amp;A68),"")</f>
        <v/>
      </c>
    </row>
    <row r="69">
      <c r="A69" s="32" t="n">
        <v>46315</v>
      </c>
      <c r="B69" s="30" t="n"/>
      <c r="C69" s="18" t="n"/>
      <c r="D69" s="18" t="n"/>
      <c r="E69" s="18" t="n"/>
      <c r="F69" s="18" t="n"/>
      <c r="G69" s="18" t="n"/>
      <c r="H69" s="18" t="n"/>
      <c r="I69" s="18" t="n"/>
      <c r="J69" s="31">
        <f>IF(C69="","",C69-Targets!$B$12)</f>
        <v/>
      </c>
      <c r="K69" s="31">
        <f>IF(D69="","",D69-Targets!$B$13)</f>
        <v/>
      </c>
      <c r="L69" s="31">
        <f>IFERROR(AVERAGEIFS($B$2:$B69,$A$2:$A69,"&gt;="&amp;(A69-6),$A$2:$A69,"&lt;="&amp;A69),"")</f>
        <v/>
      </c>
      <c r="M69" s="31">
        <f>IFERROR(AVERAGEIFS($C$2:$C69,$A$2:$A69,"&gt;="&amp;(A69-6),$A$2:$A69,"&lt;="&amp;A69),"")</f>
        <v/>
      </c>
    </row>
    <row r="70">
      <c r="A70" s="32" t="n">
        <v>46316</v>
      </c>
      <c r="B70" s="30" t="n"/>
      <c r="C70" s="18" t="n"/>
      <c r="D70" s="18" t="n"/>
      <c r="E70" s="18" t="n"/>
      <c r="F70" s="18" t="n"/>
      <c r="G70" s="18" t="n"/>
      <c r="H70" s="18" t="n"/>
      <c r="I70" s="18" t="n"/>
      <c r="J70" s="31">
        <f>IF(C70="","",C70-Targets!$B$12)</f>
        <v/>
      </c>
      <c r="K70" s="31">
        <f>IF(D70="","",D70-Targets!$B$13)</f>
        <v/>
      </c>
      <c r="L70" s="31">
        <f>IFERROR(AVERAGEIFS($B$2:$B70,$A$2:$A70,"&gt;="&amp;(A70-6),$A$2:$A70,"&lt;="&amp;A70),"")</f>
        <v/>
      </c>
      <c r="M70" s="31">
        <f>IFERROR(AVERAGEIFS($C$2:$C70,$A$2:$A70,"&gt;="&amp;(A70-6),$A$2:$A70,"&lt;="&amp;A70),"")</f>
        <v/>
      </c>
    </row>
    <row r="71">
      <c r="A71" s="32" t="n">
        <v>46317</v>
      </c>
      <c r="B71" s="30" t="n"/>
      <c r="C71" s="18" t="n"/>
      <c r="D71" s="18" t="n"/>
      <c r="E71" s="18" t="n"/>
      <c r="F71" s="18" t="n"/>
      <c r="G71" s="18" t="n"/>
      <c r="H71" s="18" t="n"/>
      <c r="I71" s="18" t="n"/>
      <c r="J71" s="31">
        <f>IF(C71="","",C71-Targets!$B$12)</f>
        <v/>
      </c>
      <c r="K71" s="31">
        <f>IF(D71="","",D71-Targets!$B$13)</f>
        <v/>
      </c>
      <c r="L71" s="31">
        <f>IFERROR(AVERAGEIFS($B$2:$B71,$A$2:$A71,"&gt;="&amp;(A71-6),$A$2:$A71,"&lt;="&amp;A71),"")</f>
        <v/>
      </c>
      <c r="M71" s="31">
        <f>IFERROR(AVERAGEIFS($C$2:$C71,$A$2:$A71,"&gt;="&amp;(A71-6),$A$2:$A71,"&lt;="&amp;A71),"")</f>
        <v/>
      </c>
    </row>
    <row r="72">
      <c r="A72" s="32" t="n">
        <v>46318</v>
      </c>
      <c r="B72" s="30" t="n"/>
      <c r="C72" s="18" t="n"/>
      <c r="D72" s="18" t="n"/>
      <c r="E72" s="18" t="n"/>
      <c r="F72" s="18" t="n"/>
      <c r="G72" s="18" t="n"/>
      <c r="H72" s="18" t="n"/>
      <c r="I72" s="18" t="n"/>
      <c r="J72" s="31">
        <f>IF(C72="","",C72-Targets!$B$12)</f>
        <v/>
      </c>
      <c r="K72" s="31">
        <f>IF(D72="","",D72-Targets!$B$13)</f>
        <v/>
      </c>
      <c r="L72" s="31">
        <f>IFERROR(AVERAGEIFS($B$2:$B72,$A$2:$A72,"&gt;="&amp;(A72-6),$A$2:$A72,"&lt;="&amp;A72),"")</f>
        <v/>
      </c>
      <c r="M72" s="31">
        <f>IFERROR(AVERAGEIFS($C$2:$C72,$A$2:$A72,"&gt;="&amp;(A72-6),$A$2:$A72,"&lt;="&amp;A72),"")</f>
        <v/>
      </c>
    </row>
    <row r="73">
      <c r="A73" s="32" t="n">
        <v>46319</v>
      </c>
      <c r="B73" s="30" t="n"/>
      <c r="C73" s="18" t="n"/>
      <c r="D73" s="18" t="n"/>
      <c r="E73" s="18" t="n"/>
      <c r="F73" s="18" t="n"/>
      <c r="G73" s="18" t="n"/>
      <c r="H73" s="18" t="n"/>
      <c r="I73" s="18" t="n"/>
      <c r="J73" s="31">
        <f>IF(C73="","",C73-Targets!$B$12)</f>
        <v/>
      </c>
      <c r="K73" s="31">
        <f>IF(D73="","",D73-Targets!$B$13)</f>
        <v/>
      </c>
      <c r="L73" s="31">
        <f>IFERROR(AVERAGEIFS($B$2:$B73,$A$2:$A73,"&gt;="&amp;(A73-6),$A$2:$A73,"&lt;="&amp;A73),"")</f>
        <v/>
      </c>
      <c r="M73" s="31">
        <f>IFERROR(AVERAGEIFS($C$2:$C73,$A$2:$A73,"&gt;="&amp;(A73-6),$A$2:$A73,"&lt;="&amp;A73),"")</f>
        <v/>
      </c>
    </row>
    <row r="74">
      <c r="A74" s="32" t="n">
        <v>46320</v>
      </c>
      <c r="B74" s="30" t="n"/>
      <c r="C74" s="18" t="n"/>
      <c r="D74" s="18" t="n"/>
      <c r="E74" s="18" t="n"/>
      <c r="F74" s="18" t="n"/>
      <c r="G74" s="18" t="n"/>
      <c r="H74" s="18" t="n"/>
      <c r="I74" s="18" t="n"/>
      <c r="J74" s="31">
        <f>IF(C74="","",C74-Targets!$B$12)</f>
        <v/>
      </c>
      <c r="K74" s="31">
        <f>IF(D74="","",D74-Targets!$B$13)</f>
        <v/>
      </c>
      <c r="L74" s="31">
        <f>IFERROR(AVERAGEIFS($B$2:$B74,$A$2:$A74,"&gt;="&amp;(A74-6),$A$2:$A74,"&lt;="&amp;A74),"")</f>
        <v/>
      </c>
      <c r="M74" s="31">
        <f>IFERROR(AVERAGEIFS($C$2:$C74,$A$2:$A74,"&gt;="&amp;(A74-6),$A$2:$A74,"&lt;="&amp;A74),"")</f>
        <v/>
      </c>
    </row>
    <row r="75">
      <c r="A75" s="32" t="n">
        <v>46321</v>
      </c>
      <c r="B75" s="30" t="n"/>
      <c r="C75" s="18" t="n"/>
      <c r="D75" s="18" t="n"/>
      <c r="E75" s="18" t="n"/>
      <c r="F75" s="18" t="n"/>
      <c r="G75" s="18" t="n"/>
      <c r="H75" s="18" t="n"/>
      <c r="I75" s="18" t="n"/>
      <c r="J75" s="31">
        <f>IF(C75="","",C75-Targets!$B$12)</f>
        <v/>
      </c>
      <c r="K75" s="31">
        <f>IF(D75="","",D75-Targets!$B$13)</f>
        <v/>
      </c>
      <c r="L75" s="31">
        <f>IFERROR(AVERAGEIFS($B$2:$B75,$A$2:$A75,"&gt;="&amp;(A75-6),$A$2:$A75,"&lt;="&amp;A75),"")</f>
        <v/>
      </c>
      <c r="M75" s="31">
        <f>IFERROR(AVERAGEIFS($C$2:$C75,$A$2:$A75,"&gt;="&amp;(A75-6),$A$2:$A75,"&lt;="&amp;A75),"")</f>
        <v/>
      </c>
    </row>
    <row r="76">
      <c r="A76" s="32" t="n">
        <v>46322</v>
      </c>
      <c r="B76" s="30" t="n"/>
      <c r="C76" s="18" t="n"/>
      <c r="D76" s="18" t="n"/>
      <c r="E76" s="18" t="n"/>
      <c r="F76" s="18" t="n"/>
      <c r="G76" s="18" t="n"/>
      <c r="H76" s="18" t="n"/>
      <c r="I76" s="18" t="n"/>
      <c r="J76" s="31">
        <f>IF(C76="","",C76-Targets!$B$12)</f>
        <v/>
      </c>
      <c r="K76" s="31">
        <f>IF(D76="","",D76-Targets!$B$13)</f>
        <v/>
      </c>
      <c r="L76" s="31">
        <f>IFERROR(AVERAGEIFS($B$2:$B76,$A$2:$A76,"&gt;="&amp;(A76-6),$A$2:$A76,"&lt;="&amp;A76),"")</f>
        <v/>
      </c>
      <c r="M76" s="31">
        <f>IFERROR(AVERAGEIFS($C$2:$C76,$A$2:$A76,"&gt;="&amp;(A76-6),$A$2:$A76,"&lt;="&amp;A76),"")</f>
        <v/>
      </c>
    </row>
    <row r="77">
      <c r="A77" s="32" t="n">
        <v>46323</v>
      </c>
      <c r="B77" s="30" t="n"/>
      <c r="C77" s="18" t="n"/>
      <c r="D77" s="18" t="n"/>
      <c r="E77" s="18" t="n"/>
      <c r="F77" s="18" t="n"/>
      <c r="G77" s="18" t="n"/>
      <c r="H77" s="18" t="n"/>
      <c r="I77" s="18" t="n"/>
      <c r="J77" s="31">
        <f>IF(C77="","",C77-Targets!$B$12)</f>
        <v/>
      </c>
      <c r="K77" s="31">
        <f>IF(D77="","",D77-Targets!$B$13)</f>
        <v/>
      </c>
      <c r="L77" s="31">
        <f>IFERROR(AVERAGEIFS($B$2:$B77,$A$2:$A77,"&gt;="&amp;(A77-6),$A$2:$A77,"&lt;="&amp;A77),"")</f>
        <v/>
      </c>
      <c r="M77" s="31">
        <f>IFERROR(AVERAGEIFS($C$2:$C77,$A$2:$A77,"&gt;="&amp;(A77-6),$A$2:$A77,"&lt;="&amp;A77),"")</f>
        <v/>
      </c>
    </row>
    <row r="78">
      <c r="A78" s="32" t="n">
        <v>46324</v>
      </c>
      <c r="B78" s="30" t="n"/>
      <c r="C78" s="18" t="n"/>
      <c r="D78" s="18" t="n"/>
      <c r="E78" s="18" t="n"/>
      <c r="F78" s="18" t="n"/>
      <c r="G78" s="18" t="n"/>
      <c r="H78" s="18" t="n"/>
      <c r="I78" s="18" t="n"/>
      <c r="J78" s="31">
        <f>IF(C78="","",C78-Targets!$B$12)</f>
        <v/>
      </c>
      <c r="K78" s="31">
        <f>IF(D78="","",D78-Targets!$B$13)</f>
        <v/>
      </c>
      <c r="L78" s="31">
        <f>IFERROR(AVERAGEIFS($B$2:$B78,$A$2:$A78,"&gt;="&amp;(A78-6),$A$2:$A78,"&lt;="&amp;A78),"")</f>
        <v/>
      </c>
      <c r="M78" s="31">
        <f>IFERROR(AVERAGEIFS($C$2:$C78,$A$2:$A78,"&gt;="&amp;(A78-6),$A$2:$A78,"&lt;="&amp;A78),"")</f>
        <v/>
      </c>
    </row>
    <row r="79">
      <c r="A79" s="32" t="n">
        <v>46325</v>
      </c>
      <c r="B79" s="30" t="n"/>
      <c r="C79" s="18" t="n"/>
      <c r="D79" s="18" t="n"/>
      <c r="E79" s="18" t="n"/>
      <c r="F79" s="18" t="n"/>
      <c r="G79" s="18" t="n"/>
      <c r="H79" s="18" t="n"/>
      <c r="I79" s="18" t="n"/>
      <c r="J79" s="31">
        <f>IF(C79="","",C79-Targets!$B$12)</f>
        <v/>
      </c>
      <c r="K79" s="31">
        <f>IF(D79="","",D79-Targets!$B$13)</f>
        <v/>
      </c>
      <c r="L79" s="31">
        <f>IFERROR(AVERAGEIFS($B$2:$B79,$A$2:$A79,"&gt;="&amp;(A79-6),$A$2:$A79,"&lt;="&amp;A79),"")</f>
        <v/>
      </c>
      <c r="M79" s="31">
        <f>IFERROR(AVERAGEIFS($C$2:$C79,$A$2:$A79,"&gt;="&amp;(A79-6),$A$2:$A79,"&lt;="&amp;A79),"")</f>
        <v/>
      </c>
    </row>
    <row r="80">
      <c r="A80" s="32" t="n">
        <v>46326</v>
      </c>
      <c r="B80" s="30" t="n"/>
      <c r="C80" s="18" t="n"/>
      <c r="D80" s="18" t="n"/>
      <c r="E80" s="18" t="n"/>
      <c r="F80" s="18" t="n"/>
      <c r="G80" s="18" t="n"/>
      <c r="H80" s="18" t="n"/>
      <c r="I80" s="18" t="n"/>
      <c r="J80" s="31">
        <f>IF(C80="","",C80-Targets!$B$12)</f>
        <v/>
      </c>
      <c r="K80" s="31">
        <f>IF(D80="","",D80-Targets!$B$13)</f>
        <v/>
      </c>
      <c r="L80" s="31">
        <f>IFERROR(AVERAGEIFS($B$2:$B80,$A$2:$A80,"&gt;="&amp;(A80-6),$A$2:$A80,"&lt;="&amp;A80),"")</f>
        <v/>
      </c>
      <c r="M80" s="31">
        <f>IFERROR(AVERAGEIFS($C$2:$C80,$A$2:$A80,"&gt;="&amp;(A80-6),$A$2:$A80,"&lt;="&amp;A80),"")</f>
        <v/>
      </c>
    </row>
    <row r="81">
      <c r="A81" s="32" t="n">
        <v>46327</v>
      </c>
      <c r="B81" s="30" t="n"/>
      <c r="C81" s="18" t="n"/>
      <c r="D81" s="18" t="n"/>
      <c r="E81" s="18" t="n"/>
      <c r="F81" s="18" t="n"/>
      <c r="G81" s="18" t="n"/>
      <c r="H81" s="18" t="n"/>
      <c r="I81" s="18" t="n"/>
      <c r="J81" s="31">
        <f>IF(C81="","",C81-Targets!$B$12)</f>
        <v/>
      </c>
      <c r="K81" s="31">
        <f>IF(D81="","",D81-Targets!$B$13)</f>
        <v/>
      </c>
      <c r="L81" s="31">
        <f>IFERROR(AVERAGEIFS($B$2:$B81,$A$2:$A81,"&gt;="&amp;(A81-6),$A$2:$A81,"&lt;="&amp;A81),"")</f>
        <v/>
      </c>
      <c r="M81" s="31">
        <f>IFERROR(AVERAGEIFS($C$2:$C81,$A$2:$A81,"&gt;="&amp;(A81-6),$A$2:$A81,"&lt;="&amp;A81),"")</f>
        <v/>
      </c>
    </row>
    <row r="82">
      <c r="A82" s="32" t="n">
        <v>46328</v>
      </c>
      <c r="B82" s="30" t="n"/>
      <c r="C82" s="18" t="n"/>
      <c r="D82" s="18" t="n"/>
      <c r="E82" s="18" t="n"/>
      <c r="F82" s="18" t="n"/>
      <c r="G82" s="18" t="n"/>
      <c r="H82" s="18" t="n"/>
      <c r="I82" s="18" t="n"/>
      <c r="J82" s="31">
        <f>IF(C82="","",C82-Targets!$B$12)</f>
        <v/>
      </c>
      <c r="K82" s="31">
        <f>IF(D82="","",D82-Targets!$B$13)</f>
        <v/>
      </c>
      <c r="L82" s="31">
        <f>IFERROR(AVERAGEIFS($B$2:$B82,$A$2:$A82,"&gt;="&amp;(A82-6),$A$2:$A82,"&lt;="&amp;A82),"")</f>
        <v/>
      </c>
      <c r="M82" s="31">
        <f>IFERROR(AVERAGEIFS($C$2:$C82,$A$2:$A82,"&gt;="&amp;(A82-6),$A$2:$A82,"&lt;="&amp;A82),"")</f>
        <v/>
      </c>
    </row>
    <row r="83">
      <c r="A83" s="32" t="n">
        <v>46329</v>
      </c>
      <c r="B83" s="30" t="n"/>
      <c r="C83" s="18" t="n"/>
      <c r="D83" s="18" t="n"/>
      <c r="E83" s="18" t="n"/>
      <c r="F83" s="18" t="n"/>
      <c r="G83" s="18" t="n"/>
      <c r="H83" s="18" t="n"/>
      <c r="I83" s="18" t="n"/>
      <c r="J83" s="31">
        <f>IF(C83="","",C83-Targets!$B$12)</f>
        <v/>
      </c>
      <c r="K83" s="31">
        <f>IF(D83="","",D83-Targets!$B$13)</f>
        <v/>
      </c>
      <c r="L83" s="31">
        <f>IFERROR(AVERAGEIFS($B$2:$B83,$A$2:$A83,"&gt;="&amp;(A83-6),$A$2:$A83,"&lt;="&amp;A83),"")</f>
        <v/>
      </c>
      <c r="M83" s="31">
        <f>IFERROR(AVERAGEIFS($C$2:$C83,$A$2:$A83,"&gt;="&amp;(A83-6),$A$2:$A83,"&lt;="&amp;A83),"")</f>
        <v/>
      </c>
    </row>
    <row r="84">
      <c r="A84" s="32" t="n">
        <v>46330</v>
      </c>
      <c r="B84" s="30" t="n"/>
      <c r="C84" s="18" t="n"/>
      <c r="D84" s="18" t="n"/>
      <c r="E84" s="18" t="n"/>
      <c r="F84" s="18" t="n"/>
      <c r="G84" s="18" t="n"/>
      <c r="H84" s="18" t="n"/>
      <c r="I84" s="18" t="n"/>
      <c r="J84" s="31">
        <f>IF(C84="","",C84-Targets!$B$12)</f>
        <v/>
      </c>
      <c r="K84" s="31">
        <f>IF(D84="","",D84-Targets!$B$13)</f>
        <v/>
      </c>
      <c r="L84" s="31">
        <f>IFERROR(AVERAGEIFS($B$2:$B84,$A$2:$A84,"&gt;="&amp;(A84-6),$A$2:$A84,"&lt;="&amp;A84),"")</f>
        <v/>
      </c>
      <c r="M84" s="31">
        <f>IFERROR(AVERAGEIFS($C$2:$C84,$A$2:$A84,"&gt;="&amp;(A84-6),$A$2:$A84,"&lt;="&amp;A84),"")</f>
        <v/>
      </c>
    </row>
    <row r="85">
      <c r="A85" s="32" t="n">
        <v>46331</v>
      </c>
      <c r="B85" s="30" t="n"/>
      <c r="C85" s="18" t="n"/>
      <c r="D85" s="18" t="n"/>
      <c r="E85" s="18" t="n"/>
      <c r="F85" s="18" t="n"/>
      <c r="G85" s="18" t="n"/>
      <c r="H85" s="18" t="n"/>
      <c r="I85" s="18" t="n"/>
      <c r="J85" s="31">
        <f>IF(C85="","",C85-Targets!$B$12)</f>
        <v/>
      </c>
      <c r="K85" s="31">
        <f>IF(D85="","",D85-Targets!$B$13)</f>
        <v/>
      </c>
      <c r="L85" s="31">
        <f>IFERROR(AVERAGEIFS($B$2:$B85,$A$2:$A85,"&gt;="&amp;(A85-6),$A$2:$A85,"&lt;="&amp;A85),"")</f>
        <v/>
      </c>
      <c r="M85" s="31">
        <f>IFERROR(AVERAGEIFS($C$2:$C85,$A$2:$A85,"&gt;="&amp;(A85-6),$A$2:$A85,"&lt;="&amp;A85),"")</f>
        <v/>
      </c>
    </row>
    <row r="86">
      <c r="A86" s="32" t="n">
        <v>46332</v>
      </c>
      <c r="B86" s="30" t="n"/>
      <c r="C86" s="18" t="n"/>
      <c r="D86" s="18" t="n"/>
      <c r="E86" s="18" t="n"/>
      <c r="F86" s="18" t="n"/>
      <c r="G86" s="18" t="n"/>
      <c r="H86" s="18" t="n"/>
      <c r="I86" s="18" t="n"/>
      <c r="J86" s="31">
        <f>IF(C86="","",C86-Targets!$B$12)</f>
        <v/>
      </c>
      <c r="K86" s="31">
        <f>IF(D86="","",D86-Targets!$B$13)</f>
        <v/>
      </c>
      <c r="L86" s="31">
        <f>IFERROR(AVERAGEIFS($B$2:$B86,$A$2:$A86,"&gt;="&amp;(A86-6),$A$2:$A86,"&lt;="&amp;A86),"")</f>
        <v/>
      </c>
      <c r="M86" s="31">
        <f>IFERROR(AVERAGEIFS($C$2:$C86,$A$2:$A86,"&gt;="&amp;(A86-6),$A$2:$A86,"&lt;="&amp;A86),"")</f>
        <v/>
      </c>
    </row>
    <row r="87">
      <c r="A87" s="32" t="n">
        <v>46333</v>
      </c>
      <c r="B87" s="30" t="n"/>
      <c r="C87" s="18" t="n"/>
      <c r="D87" s="18" t="n"/>
      <c r="E87" s="18" t="n"/>
      <c r="F87" s="18" t="n"/>
      <c r="G87" s="18" t="n"/>
      <c r="H87" s="18" t="n"/>
      <c r="I87" s="18" t="n"/>
      <c r="J87" s="31">
        <f>IF(C87="","",C87-Targets!$B$12)</f>
        <v/>
      </c>
      <c r="K87" s="31">
        <f>IF(D87="","",D87-Targets!$B$13)</f>
        <v/>
      </c>
      <c r="L87" s="31">
        <f>IFERROR(AVERAGEIFS($B$2:$B87,$A$2:$A87,"&gt;="&amp;(A87-6),$A$2:$A87,"&lt;="&amp;A87),"")</f>
        <v/>
      </c>
      <c r="M87" s="31">
        <f>IFERROR(AVERAGEIFS($C$2:$C87,$A$2:$A87,"&gt;="&amp;(A87-6),$A$2:$A87,"&lt;="&amp;A87),"")</f>
        <v/>
      </c>
    </row>
    <row r="88">
      <c r="A88" s="32" t="n">
        <v>46334</v>
      </c>
      <c r="B88" s="30" t="n"/>
      <c r="C88" s="18" t="n"/>
      <c r="D88" s="18" t="n"/>
      <c r="E88" s="18" t="n"/>
      <c r="F88" s="18" t="n"/>
      <c r="G88" s="18" t="n"/>
      <c r="H88" s="18" t="n"/>
      <c r="I88" s="18" t="n"/>
      <c r="J88" s="31">
        <f>IF(C88="","",C88-Targets!$B$12)</f>
        <v/>
      </c>
      <c r="K88" s="31">
        <f>IF(D88="","",D88-Targets!$B$13)</f>
        <v/>
      </c>
      <c r="L88" s="31">
        <f>IFERROR(AVERAGEIFS($B$2:$B88,$A$2:$A88,"&gt;="&amp;(A88-6),$A$2:$A88,"&lt;="&amp;A88),"")</f>
        <v/>
      </c>
      <c r="M88" s="31">
        <f>IFERROR(AVERAGEIFS($C$2:$C88,$A$2:$A88,"&gt;="&amp;(A88-6),$A$2:$A88,"&lt;="&amp;A88),"")</f>
        <v/>
      </c>
    </row>
    <row r="89">
      <c r="A89" s="32" t="n">
        <v>46335</v>
      </c>
      <c r="B89" s="30" t="n"/>
      <c r="C89" s="18" t="n"/>
      <c r="D89" s="18" t="n"/>
      <c r="E89" s="18" t="n"/>
      <c r="F89" s="18" t="n"/>
      <c r="G89" s="18" t="n"/>
      <c r="H89" s="18" t="n"/>
      <c r="I89" s="18" t="n"/>
      <c r="J89" s="31">
        <f>IF(C89="","",C89-Targets!$B$12)</f>
        <v/>
      </c>
      <c r="K89" s="31">
        <f>IF(D89="","",D89-Targets!$B$13)</f>
        <v/>
      </c>
      <c r="L89" s="31">
        <f>IFERROR(AVERAGEIFS($B$2:$B89,$A$2:$A89,"&gt;="&amp;(A89-6),$A$2:$A89,"&lt;="&amp;A89),"")</f>
        <v/>
      </c>
      <c r="M89" s="31">
        <f>IFERROR(AVERAGEIFS($C$2:$C89,$A$2:$A89,"&gt;="&amp;(A89-6),$A$2:$A89,"&lt;="&amp;A89),"")</f>
        <v/>
      </c>
    </row>
    <row r="90">
      <c r="A90" s="32" t="n">
        <v>46336</v>
      </c>
      <c r="B90" s="30" t="n"/>
      <c r="C90" s="18" t="n"/>
      <c r="D90" s="18" t="n"/>
      <c r="E90" s="18" t="n"/>
      <c r="F90" s="18" t="n"/>
      <c r="G90" s="18" t="n"/>
      <c r="H90" s="18" t="n"/>
      <c r="I90" s="18" t="n"/>
      <c r="J90" s="31">
        <f>IF(C90="","",C90-Targets!$B$12)</f>
        <v/>
      </c>
      <c r="K90" s="31">
        <f>IF(D90="","",D90-Targets!$B$13)</f>
        <v/>
      </c>
      <c r="L90" s="31">
        <f>IFERROR(AVERAGEIFS($B$2:$B90,$A$2:$A90,"&gt;="&amp;(A90-6),$A$2:$A90,"&lt;="&amp;A90),"")</f>
        <v/>
      </c>
      <c r="M90" s="31">
        <f>IFERROR(AVERAGEIFS($C$2:$C90,$A$2:$A90,"&gt;="&amp;(A90-6),$A$2:$A90,"&lt;="&amp;A90),"")</f>
        <v/>
      </c>
    </row>
    <row r="91">
      <c r="A91" s="32" t="n">
        <v>46337</v>
      </c>
      <c r="B91" s="30" t="n"/>
      <c r="C91" s="18" t="n"/>
      <c r="D91" s="18" t="n"/>
      <c r="E91" s="18" t="n"/>
      <c r="F91" s="18" t="n"/>
      <c r="G91" s="18" t="n"/>
      <c r="H91" s="18" t="n"/>
      <c r="I91" s="18" t="n"/>
      <c r="J91" s="31">
        <f>IF(C91="","",C91-Targets!$B$12)</f>
        <v/>
      </c>
      <c r="K91" s="31">
        <f>IF(D91="","",D91-Targets!$B$13)</f>
        <v/>
      </c>
      <c r="L91" s="31">
        <f>IFERROR(AVERAGEIFS($B$2:$B91,$A$2:$A91,"&gt;="&amp;(A91-6),$A$2:$A91,"&lt;="&amp;A91),"")</f>
        <v/>
      </c>
      <c r="M91" s="31">
        <f>IFERROR(AVERAGEIFS($C$2:$C91,$A$2:$A91,"&gt;="&amp;(A91-6),$A$2:$A91,"&lt;="&amp;A91),"")</f>
        <v/>
      </c>
    </row>
    <row r="92">
      <c r="A92" s="32" t="n">
        <v>46338</v>
      </c>
      <c r="B92" s="30" t="n"/>
      <c r="C92" s="18" t="n"/>
      <c r="D92" s="18" t="n"/>
      <c r="E92" s="18" t="n"/>
      <c r="F92" s="18" t="n"/>
      <c r="G92" s="18" t="n"/>
      <c r="H92" s="18" t="n"/>
      <c r="I92" s="18" t="n"/>
      <c r="J92" s="31">
        <f>IF(C92="","",C92-Targets!$B$12)</f>
        <v/>
      </c>
      <c r="K92" s="31">
        <f>IF(D92="","",D92-Targets!$B$13)</f>
        <v/>
      </c>
      <c r="L92" s="31">
        <f>IFERROR(AVERAGEIFS($B$2:$B92,$A$2:$A92,"&gt;="&amp;(A92-6),$A$2:$A92,"&lt;="&amp;A92),"")</f>
        <v/>
      </c>
      <c r="M92" s="31">
        <f>IFERROR(AVERAGEIFS($C$2:$C92,$A$2:$A92,"&gt;="&amp;(A92-6),$A$2:$A92,"&lt;="&amp;A92),"")</f>
        <v/>
      </c>
    </row>
    <row r="93">
      <c r="A93" s="32" t="n">
        <v>46339</v>
      </c>
      <c r="B93" s="30" t="n"/>
      <c r="C93" s="18" t="n"/>
      <c r="D93" s="18" t="n"/>
      <c r="E93" s="18" t="n"/>
      <c r="F93" s="18" t="n"/>
      <c r="G93" s="18" t="n"/>
      <c r="H93" s="18" t="n"/>
      <c r="I93" s="18" t="n"/>
      <c r="J93" s="31">
        <f>IF(C93="","",C93-Targets!$B$12)</f>
        <v/>
      </c>
      <c r="K93" s="31">
        <f>IF(D93="","",D93-Targets!$B$13)</f>
        <v/>
      </c>
      <c r="L93" s="31">
        <f>IFERROR(AVERAGEIFS($B$2:$B93,$A$2:$A93,"&gt;="&amp;(A93-6),$A$2:$A93,"&lt;="&amp;A93),"")</f>
        <v/>
      </c>
      <c r="M93" s="31">
        <f>IFERROR(AVERAGEIFS($C$2:$C93,$A$2:$A93,"&gt;="&amp;(A93-6),$A$2:$A93,"&lt;="&amp;A93),"")</f>
        <v/>
      </c>
    </row>
    <row r="94">
      <c r="A94" s="32" t="n">
        <v>46340</v>
      </c>
      <c r="B94" s="30" t="n"/>
      <c r="C94" s="18" t="n"/>
      <c r="D94" s="18" t="n"/>
      <c r="E94" s="18" t="n"/>
      <c r="F94" s="18" t="n"/>
      <c r="G94" s="18" t="n"/>
      <c r="H94" s="18" t="n"/>
      <c r="I94" s="18" t="n"/>
      <c r="J94" s="31">
        <f>IF(C94="","",C94-Targets!$B$12)</f>
        <v/>
      </c>
      <c r="K94" s="31">
        <f>IF(D94="","",D94-Targets!$B$13)</f>
        <v/>
      </c>
      <c r="L94" s="31">
        <f>IFERROR(AVERAGEIFS($B$2:$B94,$A$2:$A94,"&gt;="&amp;(A94-6),$A$2:$A94,"&lt;="&amp;A94),"")</f>
        <v/>
      </c>
      <c r="M94" s="31">
        <f>IFERROR(AVERAGEIFS($C$2:$C94,$A$2:$A94,"&gt;="&amp;(A94-6),$A$2:$A94,"&lt;="&amp;A94),"")</f>
        <v/>
      </c>
    </row>
    <row r="95">
      <c r="A95" s="32" t="n">
        <v>46341</v>
      </c>
      <c r="B95" s="30" t="n"/>
      <c r="C95" s="18" t="n"/>
      <c r="D95" s="18" t="n"/>
      <c r="E95" s="18" t="n"/>
      <c r="F95" s="18" t="n"/>
      <c r="G95" s="18" t="n"/>
      <c r="H95" s="18" t="n"/>
      <c r="I95" s="18" t="n"/>
      <c r="J95" s="31">
        <f>IF(C95="","",C95-Targets!$B$12)</f>
        <v/>
      </c>
      <c r="K95" s="31">
        <f>IF(D95="","",D95-Targets!$B$13)</f>
        <v/>
      </c>
      <c r="L95" s="31">
        <f>IFERROR(AVERAGEIFS($B$2:$B95,$A$2:$A95,"&gt;="&amp;(A95-6),$A$2:$A95,"&lt;="&amp;A95),"")</f>
        <v/>
      </c>
      <c r="M95" s="31">
        <f>IFERROR(AVERAGEIFS($C$2:$C95,$A$2:$A95,"&gt;="&amp;(A95-6),$A$2:$A95,"&lt;="&amp;A95),"")</f>
        <v/>
      </c>
    </row>
    <row r="96">
      <c r="A96" s="32" t="n">
        <v>46342</v>
      </c>
      <c r="B96" s="30" t="n"/>
      <c r="C96" s="18" t="n"/>
      <c r="D96" s="18" t="n"/>
      <c r="E96" s="18" t="n"/>
      <c r="F96" s="18" t="n"/>
      <c r="G96" s="18" t="n"/>
      <c r="H96" s="18" t="n"/>
      <c r="I96" s="18" t="n"/>
      <c r="J96" s="31">
        <f>IF(C96="","",C96-Targets!$B$12)</f>
        <v/>
      </c>
      <c r="K96" s="31">
        <f>IF(D96="","",D96-Targets!$B$13)</f>
        <v/>
      </c>
      <c r="L96" s="31">
        <f>IFERROR(AVERAGEIFS($B$2:$B96,$A$2:$A96,"&gt;="&amp;(A96-6),$A$2:$A96,"&lt;="&amp;A96),"")</f>
        <v/>
      </c>
      <c r="M96" s="31">
        <f>IFERROR(AVERAGEIFS($C$2:$C96,$A$2:$A96,"&gt;="&amp;(A96-6),$A$2:$A96,"&lt;="&amp;A96),"")</f>
        <v/>
      </c>
    </row>
    <row r="97">
      <c r="A97" s="32" t="n">
        <v>46343</v>
      </c>
      <c r="B97" s="30" t="n"/>
      <c r="C97" s="18" t="n"/>
      <c r="D97" s="18" t="n"/>
      <c r="E97" s="18" t="n"/>
      <c r="F97" s="18" t="n"/>
      <c r="G97" s="18" t="n"/>
      <c r="H97" s="18" t="n"/>
      <c r="I97" s="18" t="n"/>
      <c r="J97" s="31">
        <f>IF(C97="","",C97-Targets!$B$12)</f>
        <v/>
      </c>
      <c r="K97" s="31">
        <f>IF(D97="","",D97-Targets!$B$13)</f>
        <v/>
      </c>
      <c r="L97" s="31">
        <f>IFERROR(AVERAGEIFS($B$2:$B97,$A$2:$A97,"&gt;="&amp;(A97-6),$A$2:$A97,"&lt;="&amp;A97),"")</f>
        <v/>
      </c>
      <c r="M97" s="31">
        <f>IFERROR(AVERAGEIFS($C$2:$C97,$A$2:$A97,"&gt;="&amp;(A97-6),$A$2:$A97,"&lt;="&amp;A97),"")</f>
        <v/>
      </c>
    </row>
    <row r="98">
      <c r="A98" s="32" t="n">
        <v>46344</v>
      </c>
      <c r="B98" s="30" t="n"/>
      <c r="C98" s="18" t="n"/>
      <c r="D98" s="18" t="n"/>
      <c r="E98" s="18" t="n"/>
      <c r="F98" s="18" t="n"/>
      <c r="G98" s="18" t="n"/>
      <c r="H98" s="18" t="n"/>
      <c r="I98" s="18" t="n"/>
      <c r="J98" s="31">
        <f>IF(C98="","",C98-Targets!$B$12)</f>
        <v/>
      </c>
      <c r="K98" s="31">
        <f>IF(D98="","",D98-Targets!$B$13)</f>
        <v/>
      </c>
      <c r="L98" s="31">
        <f>IFERROR(AVERAGEIFS($B$2:$B98,$A$2:$A98,"&gt;="&amp;(A98-6),$A$2:$A98,"&lt;="&amp;A98),"")</f>
        <v/>
      </c>
      <c r="M98" s="31">
        <f>IFERROR(AVERAGEIFS($C$2:$C98,$A$2:$A98,"&gt;="&amp;(A98-6),$A$2:$A98,"&lt;="&amp;A98),"")</f>
        <v/>
      </c>
    </row>
    <row r="99">
      <c r="A99" s="32" t="n">
        <v>46345</v>
      </c>
      <c r="B99" s="30" t="n"/>
      <c r="C99" s="18" t="n"/>
      <c r="D99" s="18" t="n"/>
      <c r="E99" s="18" t="n"/>
      <c r="F99" s="18" t="n"/>
      <c r="G99" s="18" t="n"/>
      <c r="H99" s="18" t="n"/>
      <c r="I99" s="18" t="n"/>
      <c r="J99" s="31">
        <f>IF(C99="","",C99-Targets!$B$12)</f>
        <v/>
      </c>
      <c r="K99" s="31">
        <f>IF(D99="","",D99-Targets!$B$13)</f>
        <v/>
      </c>
      <c r="L99" s="31">
        <f>IFERROR(AVERAGEIFS($B$2:$B99,$A$2:$A99,"&gt;="&amp;(A99-6),$A$2:$A99,"&lt;="&amp;A99),"")</f>
        <v/>
      </c>
      <c r="M99" s="31">
        <f>IFERROR(AVERAGEIFS($C$2:$C99,$A$2:$A99,"&gt;="&amp;(A99-6),$A$2:$A99,"&lt;="&amp;A99),"")</f>
        <v/>
      </c>
    </row>
    <row r="100">
      <c r="A100" s="32" t="n">
        <v>46346</v>
      </c>
      <c r="B100" s="30" t="n"/>
      <c r="C100" s="18" t="n"/>
      <c r="D100" s="18" t="n"/>
      <c r="E100" s="18" t="n"/>
      <c r="F100" s="18" t="n"/>
      <c r="G100" s="18" t="n"/>
      <c r="H100" s="18" t="n"/>
      <c r="I100" s="18" t="n"/>
      <c r="J100" s="31">
        <f>IF(C100="","",C100-Targets!$B$12)</f>
        <v/>
      </c>
      <c r="K100" s="31">
        <f>IF(D100="","",D100-Targets!$B$13)</f>
        <v/>
      </c>
      <c r="L100" s="31">
        <f>IFERROR(AVERAGEIFS($B$2:$B100,$A$2:$A100,"&gt;="&amp;(A100-6),$A$2:$A100,"&lt;="&amp;A100),"")</f>
        <v/>
      </c>
      <c r="M100" s="31">
        <f>IFERROR(AVERAGEIFS($C$2:$C100,$A$2:$A100,"&gt;="&amp;(A100-6),$A$2:$A100,"&lt;="&amp;A100),"")</f>
        <v/>
      </c>
    </row>
    <row r="101">
      <c r="A101" s="32" t="n">
        <v>46347</v>
      </c>
      <c r="B101" s="30" t="n"/>
      <c r="C101" s="18" t="n"/>
      <c r="D101" s="18" t="n"/>
      <c r="E101" s="18" t="n"/>
      <c r="F101" s="18" t="n"/>
      <c r="G101" s="18" t="n"/>
      <c r="H101" s="18" t="n"/>
      <c r="I101" s="18" t="n"/>
      <c r="J101" s="31">
        <f>IF(C101="","",C101-Targets!$B$12)</f>
        <v/>
      </c>
      <c r="K101" s="31">
        <f>IF(D101="","",D101-Targets!$B$13)</f>
        <v/>
      </c>
      <c r="L101" s="31">
        <f>IFERROR(AVERAGEIFS($B$2:$B101,$A$2:$A101,"&gt;="&amp;(A101-6),$A$2:$A101,"&lt;="&amp;A101),"")</f>
        <v/>
      </c>
      <c r="M101" s="31">
        <f>IFERROR(AVERAGEIFS($C$2:$C101,$A$2:$A101,"&gt;="&amp;(A101-6),$A$2:$A101,"&lt;="&amp;A101),"")</f>
        <v/>
      </c>
    </row>
    <row r="102">
      <c r="A102" s="32" t="n">
        <v>46348</v>
      </c>
      <c r="B102" s="30" t="n"/>
      <c r="C102" s="18" t="n"/>
      <c r="D102" s="18" t="n"/>
      <c r="E102" s="18" t="n"/>
      <c r="F102" s="18" t="n"/>
      <c r="G102" s="18" t="n"/>
      <c r="H102" s="18" t="n"/>
      <c r="I102" s="18" t="n"/>
      <c r="J102" s="31">
        <f>IF(C102="","",C102-Targets!$B$12)</f>
        <v/>
      </c>
      <c r="K102" s="31">
        <f>IF(D102="","",D102-Targets!$B$13)</f>
        <v/>
      </c>
      <c r="L102" s="31">
        <f>IFERROR(AVERAGEIFS($B$2:$B102,$A$2:$A102,"&gt;="&amp;(A102-6),$A$2:$A102,"&lt;="&amp;A102),"")</f>
        <v/>
      </c>
      <c r="M102" s="31">
        <f>IFERROR(AVERAGEIFS($C$2:$C102,$A$2:$A102,"&gt;="&amp;(A102-6),$A$2:$A102,"&lt;="&amp;A102),"")</f>
        <v/>
      </c>
    </row>
    <row r="103">
      <c r="A103" s="32" t="n">
        <v>46349</v>
      </c>
      <c r="B103" s="30" t="n"/>
      <c r="C103" s="18" t="n"/>
      <c r="D103" s="18" t="n"/>
      <c r="E103" s="18" t="n"/>
      <c r="F103" s="18" t="n"/>
      <c r="G103" s="18" t="n"/>
      <c r="H103" s="18" t="n"/>
      <c r="I103" s="18" t="n"/>
      <c r="J103" s="31">
        <f>IF(C103="","",C103-Targets!$B$12)</f>
        <v/>
      </c>
      <c r="K103" s="31">
        <f>IF(D103="","",D103-Targets!$B$13)</f>
        <v/>
      </c>
      <c r="L103" s="31">
        <f>IFERROR(AVERAGEIFS($B$2:$B103,$A$2:$A103,"&gt;="&amp;(A103-6),$A$2:$A103,"&lt;="&amp;A103),"")</f>
        <v/>
      </c>
      <c r="M103" s="31">
        <f>IFERROR(AVERAGEIFS($C$2:$C103,$A$2:$A103,"&gt;="&amp;(A103-6),$A$2:$A103,"&lt;="&amp;A103),"")</f>
        <v/>
      </c>
    </row>
    <row r="104">
      <c r="A104" s="32" t="n">
        <v>46350</v>
      </c>
      <c r="B104" s="30" t="n"/>
      <c r="C104" s="18" t="n"/>
      <c r="D104" s="18" t="n"/>
      <c r="E104" s="18" t="n"/>
      <c r="F104" s="18" t="n"/>
      <c r="G104" s="18" t="n"/>
      <c r="H104" s="18" t="n"/>
      <c r="I104" s="18" t="n"/>
      <c r="J104" s="31">
        <f>IF(C104="","",C104-Targets!$B$12)</f>
        <v/>
      </c>
      <c r="K104" s="31">
        <f>IF(D104="","",D104-Targets!$B$13)</f>
        <v/>
      </c>
      <c r="L104" s="31">
        <f>IFERROR(AVERAGEIFS($B$2:$B104,$A$2:$A104,"&gt;="&amp;(A104-6),$A$2:$A104,"&lt;="&amp;A104),"")</f>
        <v/>
      </c>
      <c r="M104" s="31">
        <f>IFERROR(AVERAGEIFS($C$2:$C104,$A$2:$A104,"&gt;="&amp;(A104-6),$A$2:$A104,"&lt;="&amp;A104),"")</f>
        <v/>
      </c>
    </row>
    <row r="105">
      <c r="A105" s="32" t="n">
        <v>46351</v>
      </c>
      <c r="B105" s="30" t="n"/>
      <c r="C105" s="18" t="n"/>
      <c r="D105" s="18" t="n"/>
      <c r="E105" s="18" t="n"/>
      <c r="F105" s="18" t="n"/>
      <c r="G105" s="18" t="n"/>
      <c r="H105" s="18" t="n"/>
      <c r="I105" s="18" t="n"/>
      <c r="J105" s="31">
        <f>IF(C105="","",C105-Targets!$B$12)</f>
        <v/>
      </c>
      <c r="K105" s="31">
        <f>IF(D105="","",D105-Targets!$B$13)</f>
        <v/>
      </c>
      <c r="L105" s="31">
        <f>IFERROR(AVERAGEIFS($B$2:$B105,$A$2:$A105,"&gt;="&amp;(A105-6),$A$2:$A105,"&lt;="&amp;A105),"")</f>
        <v/>
      </c>
      <c r="M105" s="31">
        <f>IFERROR(AVERAGEIFS($C$2:$C105,$A$2:$A105,"&gt;="&amp;(A105-6),$A$2:$A105,"&lt;="&amp;A105),"")</f>
        <v/>
      </c>
    </row>
    <row r="106">
      <c r="A106" s="32" t="n">
        <v>46352</v>
      </c>
      <c r="B106" s="30" t="n"/>
      <c r="C106" s="18" t="n"/>
      <c r="D106" s="18" t="n"/>
      <c r="E106" s="18" t="n"/>
      <c r="F106" s="18" t="n"/>
      <c r="G106" s="18" t="n"/>
      <c r="H106" s="18" t="n"/>
      <c r="I106" s="18" t="n"/>
      <c r="J106" s="31">
        <f>IF(C106="","",C106-Targets!$B$12)</f>
        <v/>
      </c>
      <c r="K106" s="31">
        <f>IF(D106="","",D106-Targets!$B$13)</f>
        <v/>
      </c>
      <c r="L106" s="31">
        <f>IFERROR(AVERAGEIFS($B$2:$B106,$A$2:$A106,"&gt;="&amp;(A106-6),$A$2:$A106,"&lt;="&amp;A106),"")</f>
        <v/>
      </c>
      <c r="M106" s="31">
        <f>IFERROR(AVERAGEIFS($C$2:$C106,$A$2:$A106,"&gt;="&amp;(A106-6),$A$2:$A106,"&lt;="&amp;A106),"")</f>
        <v/>
      </c>
    </row>
    <row r="107">
      <c r="A107" s="32" t="n">
        <v>46353</v>
      </c>
      <c r="B107" s="30" t="n"/>
      <c r="C107" s="18" t="n"/>
      <c r="D107" s="18" t="n"/>
      <c r="E107" s="18" t="n"/>
      <c r="F107" s="18" t="n"/>
      <c r="G107" s="18" t="n"/>
      <c r="H107" s="18" t="n"/>
      <c r="I107" s="18" t="n"/>
      <c r="J107" s="31">
        <f>IF(C107="","",C107-Targets!$B$12)</f>
        <v/>
      </c>
      <c r="K107" s="31">
        <f>IF(D107="","",D107-Targets!$B$13)</f>
        <v/>
      </c>
      <c r="L107" s="31">
        <f>IFERROR(AVERAGEIFS($B$2:$B107,$A$2:$A107,"&gt;="&amp;(A107-6),$A$2:$A107,"&lt;="&amp;A107),"")</f>
        <v/>
      </c>
      <c r="M107" s="31">
        <f>IFERROR(AVERAGEIFS($C$2:$C107,$A$2:$A107,"&gt;="&amp;(A107-6),$A$2:$A107,"&lt;="&amp;A107),"")</f>
        <v/>
      </c>
    </row>
    <row r="108">
      <c r="A108" s="32" t="n">
        <v>46354</v>
      </c>
      <c r="B108" s="30" t="n"/>
      <c r="C108" s="18" t="n"/>
      <c r="D108" s="18" t="n"/>
      <c r="E108" s="18" t="n"/>
      <c r="F108" s="18" t="n"/>
      <c r="G108" s="18" t="n"/>
      <c r="H108" s="18" t="n"/>
      <c r="I108" s="18" t="n"/>
      <c r="J108" s="31">
        <f>IF(C108="","",C108-Targets!$B$12)</f>
        <v/>
      </c>
      <c r="K108" s="31">
        <f>IF(D108="","",D108-Targets!$B$13)</f>
        <v/>
      </c>
      <c r="L108" s="31">
        <f>IFERROR(AVERAGEIFS($B$2:$B108,$A$2:$A108,"&gt;="&amp;(A108-6),$A$2:$A108,"&lt;="&amp;A108),"")</f>
        <v/>
      </c>
      <c r="M108" s="31">
        <f>IFERROR(AVERAGEIFS($C$2:$C108,$A$2:$A108,"&gt;="&amp;(A108-6),$A$2:$A108,"&lt;="&amp;A108),"")</f>
        <v/>
      </c>
    </row>
    <row r="109">
      <c r="A109" s="32" t="n">
        <v>46355</v>
      </c>
      <c r="B109" s="30" t="n"/>
      <c r="C109" s="18" t="n"/>
      <c r="D109" s="18" t="n"/>
      <c r="E109" s="18" t="n"/>
      <c r="F109" s="18" t="n"/>
      <c r="G109" s="18" t="n"/>
      <c r="H109" s="18" t="n"/>
      <c r="I109" s="18" t="n"/>
      <c r="J109" s="31">
        <f>IF(C109="","",C109-Targets!$B$12)</f>
        <v/>
      </c>
      <c r="K109" s="31">
        <f>IF(D109="","",D109-Targets!$B$13)</f>
        <v/>
      </c>
      <c r="L109" s="31">
        <f>IFERROR(AVERAGEIFS($B$2:$B109,$A$2:$A109,"&gt;="&amp;(A109-6),$A$2:$A109,"&lt;="&amp;A109),"")</f>
        <v/>
      </c>
      <c r="M109" s="31">
        <f>IFERROR(AVERAGEIFS($C$2:$C109,$A$2:$A109,"&gt;="&amp;(A109-6),$A$2:$A109,"&lt;="&amp;A109),"")</f>
        <v/>
      </c>
    </row>
    <row r="110">
      <c r="A110" s="32" t="n">
        <v>46356</v>
      </c>
      <c r="B110" s="30" t="n"/>
      <c r="C110" s="18" t="n"/>
      <c r="D110" s="18" t="n"/>
      <c r="E110" s="18" t="n"/>
      <c r="F110" s="18" t="n"/>
      <c r="G110" s="18" t="n"/>
      <c r="H110" s="18" t="n"/>
      <c r="I110" s="18" t="n"/>
      <c r="J110" s="31">
        <f>IF(C110="","",C110-Targets!$B$12)</f>
        <v/>
      </c>
      <c r="K110" s="31">
        <f>IF(D110="","",D110-Targets!$B$13)</f>
        <v/>
      </c>
      <c r="L110" s="31">
        <f>IFERROR(AVERAGEIFS($B$2:$B110,$A$2:$A110,"&gt;="&amp;(A110-6),$A$2:$A110,"&lt;="&amp;A110),"")</f>
        <v/>
      </c>
      <c r="M110" s="31">
        <f>IFERROR(AVERAGEIFS($C$2:$C110,$A$2:$A110,"&gt;="&amp;(A110-6),$A$2:$A110,"&lt;="&amp;A110),"")</f>
        <v/>
      </c>
    </row>
    <row r="111">
      <c r="A111" s="32" t="n">
        <v>46357</v>
      </c>
      <c r="B111" s="30" t="n"/>
      <c r="C111" s="18" t="n"/>
      <c r="D111" s="18" t="n"/>
      <c r="E111" s="18" t="n"/>
      <c r="F111" s="18" t="n"/>
      <c r="G111" s="18" t="n"/>
      <c r="H111" s="18" t="n"/>
      <c r="I111" s="18" t="n"/>
      <c r="J111" s="31">
        <f>IF(C111="","",C111-Targets!$B$12)</f>
        <v/>
      </c>
      <c r="K111" s="31">
        <f>IF(D111="","",D111-Targets!$B$13)</f>
        <v/>
      </c>
      <c r="L111" s="31">
        <f>IFERROR(AVERAGEIFS($B$2:$B111,$A$2:$A111,"&gt;="&amp;(A111-6),$A$2:$A111,"&lt;="&amp;A111),"")</f>
        <v/>
      </c>
      <c r="M111" s="31">
        <f>IFERROR(AVERAGEIFS($C$2:$C111,$A$2:$A111,"&gt;="&amp;(A111-6),$A$2:$A111,"&lt;="&amp;A111),"")</f>
        <v/>
      </c>
    </row>
    <row r="112">
      <c r="A112" s="32" t="n">
        <v>46358</v>
      </c>
      <c r="B112" s="30" t="n"/>
      <c r="C112" s="18" t="n"/>
      <c r="D112" s="18" t="n"/>
      <c r="E112" s="18" t="n"/>
      <c r="F112" s="18" t="n"/>
      <c r="G112" s="18" t="n"/>
      <c r="H112" s="18" t="n"/>
      <c r="I112" s="18" t="n"/>
      <c r="J112" s="31">
        <f>IF(C112="","",C112-Targets!$B$12)</f>
        <v/>
      </c>
      <c r="K112" s="31">
        <f>IF(D112="","",D112-Targets!$B$13)</f>
        <v/>
      </c>
      <c r="L112" s="31">
        <f>IFERROR(AVERAGEIFS($B$2:$B112,$A$2:$A112,"&gt;="&amp;(A112-6),$A$2:$A112,"&lt;="&amp;A112),"")</f>
        <v/>
      </c>
      <c r="M112" s="31">
        <f>IFERROR(AVERAGEIFS($C$2:$C112,$A$2:$A112,"&gt;="&amp;(A112-6),$A$2:$A112,"&lt;="&amp;A112),"")</f>
        <v/>
      </c>
    </row>
    <row r="113">
      <c r="A113" s="32" t="n">
        <v>46359</v>
      </c>
      <c r="B113" s="30" t="n"/>
      <c r="C113" s="18" t="n"/>
      <c r="D113" s="18" t="n"/>
      <c r="E113" s="18" t="n"/>
      <c r="F113" s="18" t="n"/>
      <c r="G113" s="18" t="n"/>
      <c r="H113" s="18" t="n"/>
      <c r="I113" s="18" t="n"/>
      <c r="J113" s="31">
        <f>IF(C113="","",C113-Targets!$B$12)</f>
        <v/>
      </c>
      <c r="K113" s="31">
        <f>IF(D113="","",D113-Targets!$B$13)</f>
        <v/>
      </c>
      <c r="L113" s="31">
        <f>IFERROR(AVERAGEIFS($B$2:$B113,$A$2:$A113,"&gt;="&amp;(A113-6),$A$2:$A113,"&lt;="&amp;A113),"")</f>
        <v/>
      </c>
      <c r="M113" s="31">
        <f>IFERROR(AVERAGEIFS($C$2:$C113,$A$2:$A113,"&gt;="&amp;(A113-6),$A$2:$A113,"&lt;="&amp;A113),"")</f>
        <v/>
      </c>
    </row>
    <row r="114">
      <c r="A114" s="32" t="n">
        <v>46360</v>
      </c>
      <c r="B114" s="30" t="n"/>
      <c r="C114" s="18" t="n"/>
      <c r="D114" s="18" t="n"/>
      <c r="E114" s="18" t="n"/>
      <c r="F114" s="18" t="n"/>
      <c r="G114" s="18" t="n"/>
      <c r="H114" s="18" t="n"/>
      <c r="I114" s="18" t="n"/>
      <c r="J114" s="31">
        <f>IF(C114="","",C114-Targets!$B$12)</f>
        <v/>
      </c>
      <c r="K114" s="31">
        <f>IF(D114="","",D114-Targets!$B$13)</f>
        <v/>
      </c>
      <c r="L114" s="31">
        <f>IFERROR(AVERAGEIFS($B$2:$B114,$A$2:$A114,"&gt;="&amp;(A114-6),$A$2:$A114,"&lt;="&amp;A114),"")</f>
        <v/>
      </c>
      <c r="M114" s="31">
        <f>IFERROR(AVERAGEIFS($C$2:$C114,$A$2:$A114,"&gt;="&amp;(A114-6),$A$2:$A114,"&lt;="&amp;A114),"")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12" customWidth="1" min="4" max="4"/>
    <col width="14" customWidth="1" min="5" max="5"/>
    <col width="28" customWidth="1" min="6" max="6"/>
    <col width="15" customWidth="1" min="7" max="7"/>
    <col width="16" customWidth="1" min="8" max="8"/>
    <col width="16" customWidth="1" min="9" max="9"/>
  </cols>
  <sheetData>
    <row r="1">
      <c r="A1" s="15" t="inlineStr">
        <is>
          <t>Week Start</t>
        </is>
      </c>
      <c r="B1" s="15" t="inlineStr">
        <is>
          <t>Avg Weight (lb)</t>
        </is>
      </c>
      <c r="C1" s="15" t="inlineStr">
        <is>
          <t>Weight Change vs Prior Week</t>
        </is>
      </c>
      <c r="D1" s="15" t="inlineStr">
        <is>
          <t>Avg Calories</t>
        </is>
      </c>
      <c r="E1" s="15" t="inlineStr">
        <is>
          <t>Avg Protein (g)</t>
        </is>
      </c>
      <c r="F1" s="15" t="inlineStr">
        <is>
          <t>On Pace? (target ≈1 lb/wk loss)</t>
        </is>
      </c>
      <c r="G1" s="15" t="inlineStr">
        <is>
          <t>Goal Weight (ref)</t>
        </is>
      </c>
      <c r="H1" s="15" t="inlineStr">
        <is>
          <t>Calorie Target (ref)</t>
        </is>
      </c>
      <c r="I1" s="15" t="inlineStr">
        <is>
          <t>Protein Target (ref)</t>
        </is>
      </c>
    </row>
    <row r="2">
      <c r="A2" s="32" t="n">
        <v>46243</v>
      </c>
      <c r="B2" s="33">
        <f>IFERROR(AVERAGEIFS('Daily Log'!$B$2:$B$114,'Daily Log'!$A$2:$A$114,"&gt;="&amp;A2,'Daily Log'!$A$2:$A$114,"&lt;"&amp;(A2+7)),"")</f>
        <v/>
      </c>
      <c r="D2" s="34">
        <f>IFERROR(AVERAGEIFS('Daily Log'!$C$2:$C$114,'Daily Log'!$A$2:$A$114,"&gt;="&amp;A2,'Daily Log'!$A$2:$A$114,"&lt;"&amp;(A2+7)),"")</f>
        <v/>
      </c>
      <c r="E2" s="34">
        <f>IFERROR(AVERAGEIFS('Daily Log'!$D$2:$D$114,'Daily Log'!$A$2:$A$114,"&gt;="&amp;A2,'Daily Log'!$A$2:$A$114,"&lt;"&amp;(A2+7)),"")</f>
        <v/>
      </c>
      <c r="G2" s="28">
        <f>Targets!$B$7</f>
        <v/>
      </c>
      <c r="H2" s="23">
        <f>Targets!$B$12</f>
        <v/>
      </c>
      <c r="I2" s="23">
        <f>Targets!$B$13</f>
        <v/>
      </c>
    </row>
    <row r="3">
      <c r="A3" s="32" t="n">
        <v>46250</v>
      </c>
      <c r="B3" s="33">
        <f>IFERROR(AVERAGEIFS('Daily Log'!$B$2:$B$114,'Daily Log'!$A$2:$A$114,"&gt;="&amp;A3,'Daily Log'!$A$2:$A$114,"&lt;"&amp;(A3+7)),"")</f>
        <v/>
      </c>
      <c r="C3" s="33">
        <f>IF(OR(B3="",B2=""),"",B3-B2)</f>
        <v/>
      </c>
      <c r="D3" s="34">
        <f>IFERROR(AVERAGEIFS('Daily Log'!$C$2:$C$114,'Daily Log'!$A$2:$A$114,"&gt;="&amp;A3,'Daily Log'!$A$2:$A$114,"&lt;"&amp;(A3+7)),"")</f>
        <v/>
      </c>
      <c r="E3" s="34">
        <f>IFERROR(AVERAGEIFS('Daily Log'!$D$2:$D$114,'Daily Log'!$A$2:$A$114,"&gt;="&amp;A3,'Daily Log'!$A$2:$A$114,"&lt;"&amp;(A3+7)),"")</f>
        <v/>
      </c>
      <c r="F3" s="3">
        <f>IF(C3="","",IF(C3&lt;=-0.5,"On pace",IF(C3&gt;0,"Check adherence","Slower than target")))</f>
        <v/>
      </c>
      <c r="G3" s="28">
        <f>Targets!$B$7</f>
        <v/>
      </c>
      <c r="H3" s="23">
        <f>Targets!$B$12</f>
        <v/>
      </c>
      <c r="I3" s="23">
        <f>Targets!$B$13</f>
        <v/>
      </c>
    </row>
    <row r="4">
      <c r="A4" s="32" t="n">
        <v>46257</v>
      </c>
      <c r="B4" s="33">
        <f>IFERROR(AVERAGEIFS('Daily Log'!$B$2:$B$114,'Daily Log'!$A$2:$A$114,"&gt;="&amp;A4,'Daily Log'!$A$2:$A$114,"&lt;"&amp;(A4+7)),"")</f>
        <v/>
      </c>
      <c r="C4" s="33">
        <f>IF(OR(B4="",B3=""),"",B4-B3)</f>
        <v/>
      </c>
      <c r="D4" s="34">
        <f>IFERROR(AVERAGEIFS('Daily Log'!$C$2:$C$114,'Daily Log'!$A$2:$A$114,"&gt;="&amp;A4,'Daily Log'!$A$2:$A$114,"&lt;"&amp;(A4+7)),"")</f>
        <v/>
      </c>
      <c r="E4" s="34">
        <f>IFERROR(AVERAGEIFS('Daily Log'!$D$2:$D$114,'Daily Log'!$A$2:$A$114,"&gt;="&amp;A4,'Daily Log'!$A$2:$A$114,"&lt;"&amp;(A4+7)),"")</f>
        <v/>
      </c>
      <c r="F4" s="3">
        <f>IF(C4="","",IF(C4&lt;=-0.5,"On pace",IF(C4&gt;0,"Check adherence","Slower than target")))</f>
        <v/>
      </c>
      <c r="G4" s="28">
        <f>Targets!$B$7</f>
        <v/>
      </c>
      <c r="H4" s="23">
        <f>Targets!$B$12</f>
        <v/>
      </c>
      <c r="I4" s="23">
        <f>Targets!$B$13</f>
        <v/>
      </c>
    </row>
    <row r="5">
      <c r="A5" s="32" t="n">
        <v>46264</v>
      </c>
      <c r="B5" s="33">
        <f>IFERROR(AVERAGEIFS('Daily Log'!$B$2:$B$114,'Daily Log'!$A$2:$A$114,"&gt;="&amp;A5,'Daily Log'!$A$2:$A$114,"&lt;"&amp;(A5+7)),"")</f>
        <v/>
      </c>
      <c r="C5" s="33">
        <f>IF(OR(B5="",B4=""),"",B5-B4)</f>
        <v/>
      </c>
      <c r="D5" s="34">
        <f>IFERROR(AVERAGEIFS('Daily Log'!$C$2:$C$114,'Daily Log'!$A$2:$A$114,"&gt;="&amp;A5,'Daily Log'!$A$2:$A$114,"&lt;"&amp;(A5+7)),"")</f>
        <v/>
      </c>
      <c r="E5" s="34">
        <f>IFERROR(AVERAGEIFS('Daily Log'!$D$2:$D$114,'Daily Log'!$A$2:$A$114,"&gt;="&amp;A5,'Daily Log'!$A$2:$A$114,"&lt;"&amp;(A5+7)),"")</f>
        <v/>
      </c>
      <c r="F5" s="3">
        <f>IF(C5="","",IF(C5&lt;=-0.5,"On pace",IF(C5&gt;0,"Check adherence","Slower than target")))</f>
        <v/>
      </c>
      <c r="G5" s="28">
        <f>Targets!$B$7</f>
        <v/>
      </c>
      <c r="H5" s="23">
        <f>Targets!$B$12</f>
        <v/>
      </c>
      <c r="I5" s="23">
        <f>Targets!$B$13</f>
        <v/>
      </c>
    </row>
    <row r="6">
      <c r="A6" s="32" t="n">
        <v>46271</v>
      </c>
      <c r="B6" s="33">
        <f>IFERROR(AVERAGEIFS('Daily Log'!$B$2:$B$114,'Daily Log'!$A$2:$A$114,"&gt;="&amp;A6,'Daily Log'!$A$2:$A$114,"&lt;"&amp;(A6+7)),"")</f>
        <v/>
      </c>
      <c r="C6" s="33">
        <f>IF(OR(B6="",B5=""),"",B6-B5)</f>
        <v/>
      </c>
      <c r="D6" s="34">
        <f>IFERROR(AVERAGEIFS('Daily Log'!$C$2:$C$114,'Daily Log'!$A$2:$A$114,"&gt;="&amp;A6,'Daily Log'!$A$2:$A$114,"&lt;"&amp;(A6+7)),"")</f>
        <v/>
      </c>
      <c r="E6" s="34">
        <f>IFERROR(AVERAGEIFS('Daily Log'!$D$2:$D$114,'Daily Log'!$A$2:$A$114,"&gt;="&amp;A6,'Daily Log'!$A$2:$A$114,"&lt;"&amp;(A6+7)),"")</f>
        <v/>
      </c>
      <c r="F6" s="3">
        <f>IF(C6="","",IF(C6&lt;=-0.5,"On pace",IF(C6&gt;0,"Check adherence","Slower than target")))</f>
        <v/>
      </c>
      <c r="G6" s="28">
        <f>Targets!$B$7</f>
        <v/>
      </c>
      <c r="H6" s="23">
        <f>Targets!$B$12</f>
        <v/>
      </c>
      <c r="I6" s="23">
        <f>Targets!$B$13</f>
        <v/>
      </c>
    </row>
    <row r="7">
      <c r="A7" s="32" t="n">
        <v>46278</v>
      </c>
      <c r="B7" s="33">
        <f>IFERROR(AVERAGEIFS('Daily Log'!$B$2:$B$114,'Daily Log'!$A$2:$A$114,"&gt;="&amp;A7,'Daily Log'!$A$2:$A$114,"&lt;"&amp;(A7+7)),"")</f>
        <v/>
      </c>
      <c r="C7" s="33">
        <f>IF(OR(B7="",B6=""),"",B7-B6)</f>
        <v/>
      </c>
      <c r="D7" s="34">
        <f>IFERROR(AVERAGEIFS('Daily Log'!$C$2:$C$114,'Daily Log'!$A$2:$A$114,"&gt;="&amp;A7,'Daily Log'!$A$2:$A$114,"&lt;"&amp;(A7+7)),"")</f>
        <v/>
      </c>
      <c r="E7" s="34">
        <f>IFERROR(AVERAGEIFS('Daily Log'!$D$2:$D$114,'Daily Log'!$A$2:$A$114,"&gt;="&amp;A7,'Daily Log'!$A$2:$A$114,"&lt;"&amp;(A7+7)),"")</f>
        <v/>
      </c>
      <c r="F7" s="3">
        <f>IF(C7="","",IF(C7&lt;=-0.5,"On pace",IF(C7&gt;0,"Check adherence","Slower than target")))</f>
        <v/>
      </c>
      <c r="G7" s="28">
        <f>Targets!$B$7</f>
        <v/>
      </c>
      <c r="H7" s="23">
        <f>Targets!$B$12</f>
        <v/>
      </c>
      <c r="I7" s="23">
        <f>Targets!$B$13</f>
        <v/>
      </c>
    </row>
    <row r="8">
      <c r="A8" s="32" t="n">
        <v>46285</v>
      </c>
      <c r="B8" s="33">
        <f>IFERROR(AVERAGEIFS('Daily Log'!$B$2:$B$114,'Daily Log'!$A$2:$A$114,"&gt;="&amp;A8,'Daily Log'!$A$2:$A$114,"&lt;"&amp;(A8+7)),"")</f>
        <v/>
      </c>
      <c r="C8" s="33">
        <f>IF(OR(B8="",B7=""),"",B8-B7)</f>
        <v/>
      </c>
      <c r="D8" s="34">
        <f>IFERROR(AVERAGEIFS('Daily Log'!$C$2:$C$114,'Daily Log'!$A$2:$A$114,"&gt;="&amp;A8,'Daily Log'!$A$2:$A$114,"&lt;"&amp;(A8+7)),"")</f>
        <v/>
      </c>
      <c r="E8" s="34">
        <f>IFERROR(AVERAGEIFS('Daily Log'!$D$2:$D$114,'Daily Log'!$A$2:$A$114,"&gt;="&amp;A8,'Daily Log'!$A$2:$A$114,"&lt;"&amp;(A8+7)),"")</f>
        <v/>
      </c>
      <c r="F8" s="3">
        <f>IF(C8="","",IF(C8&lt;=-0.5,"On pace",IF(C8&gt;0,"Check adherence","Slower than target")))</f>
        <v/>
      </c>
      <c r="G8" s="28">
        <f>Targets!$B$7</f>
        <v/>
      </c>
      <c r="H8" s="23">
        <f>Targets!$B$12</f>
        <v/>
      </c>
      <c r="I8" s="23">
        <f>Targets!$B$13</f>
        <v/>
      </c>
    </row>
    <row r="9">
      <c r="A9" s="32" t="n">
        <v>46292</v>
      </c>
      <c r="B9" s="33">
        <f>IFERROR(AVERAGEIFS('Daily Log'!$B$2:$B$114,'Daily Log'!$A$2:$A$114,"&gt;="&amp;A9,'Daily Log'!$A$2:$A$114,"&lt;"&amp;(A9+7)),"")</f>
        <v/>
      </c>
      <c r="C9" s="33">
        <f>IF(OR(B9="",B8=""),"",B9-B8)</f>
        <v/>
      </c>
      <c r="D9" s="34">
        <f>IFERROR(AVERAGEIFS('Daily Log'!$C$2:$C$114,'Daily Log'!$A$2:$A$114,"&gt;="&amp;A9,'Daily Log'!$A$2:$A$114,"&lt;"&amp;(A9+7)),"")</f>
        <v/>
      </c>
      <c r="E9" s="34">
        <f>IFERROR(AVERAGEIFS('Daily Log'!$D$2:$D$114,'Daily Log'!$A$2:$A$114,"&gt;="&amp;A9,'Daily Log'!$A$2:$A$114,"&lt;"&amp;(A9+7)),"")</f>
        <v/>
      </c>
      <c r="F9" s="3">
        <f>IF(C9="","",IF(C9&lt;=-0.5,"On pace",IF(C9&gt;0,"Check adherence","Slower than target")))</f>
        <v/>
      </c>
      <c r="G9" s="28">
        <f>Targets!$B$7</f>
        <v/>
      </c>
      <c r="H9" s="23">
        <f>Targets!$B$12</f>
        <v/>
      </c>
      <c r="I9" s="23">
        <f>Targets!$B$13</f>
        <v/>
      </c>
    </row>
    <row r="10">
      <c r="A10" s="32" t="n">
        <v>46299</v>
      </c>
      <c r="B10" s="33">
        <f>IFERROR(AVERAGEIFS('Daily Log'!$B$2:$B$114,'Daily Log'!$A$2:$A$114,"&gt;="&amp;A10,'Daily Log'!$A$2:$A$114,"&lt;"&amp;(A10+7)),"")</f>
        <v/>
      </c>
      <c r="C10" s="33">
        <f>IF(OR(B10="",B9=""),"",B10-B9)</f>
        <v/>
      </c>
      <c r="D10" s="34">
        <f>IFERROR(AVERAGEIFS('Daily Log'!$C$2:$C$114,'Daily Log'!$A$2:$A$114,"&gt;="&amp;A10,'Daily Log'!$A$2:$A$114,"&lt;"&amp;(A10+7)),"")</f>
        <v/>
      </c>
      <c r="E10" s="34">
        <f>IFERROR(AVERAGEIFS('Daily Log'!$D$2:$D$114,'Daily Log'!$A$2:$A$114,"&gt;="&amp;A10,'Daily Log'!$A$2:$A$114,"&lt;"&amp;(A10+7)),"")</f>
        <v/>
      </c>
      <c r="F10" s="3">
        <f>IF(C10="","",IF(C10&lt;=-0.5,"On pace",IF(C10&gt;0,"Check adherence","Slower than target")))</f>
        <v/>
      </c>
      <c r="G10" s="28">
        <f>Targets!$B$7</f>
        <v/>
      </c>
      <c r="H10" s="23">
        <f>Targets!$B$12</f>
        <v/>
      </c>
      <c r="I10" s="23">
        <f>Targets!$B$13</f>
        <v/>
      </c>
    </row>
    <row r="11">
      <c r="A11" s="32" t="n">
        <v>46306</v>
      </c>
      <c r="B11" s="33">
        <f>IFERROR(AVERAGEIFS('Daily Log'!$B$2:$B$114,'Daily Log'!$A$2:$A$114,"&gt;="&amp;A11,'Daily Log'!$A$2:$A$114,"&lt;"&amp;(A11+7)),"")</f>
        <v/>
      </c>
      <c r="C11" s="33">
        <f>IF(OR(B11="",B10=""),"",B11-B10)</f>
        <v/>
      </c>
      <c r="D11" s="34">
        <f>IFERROR(AVERAGEIFS('Daily Log'!$C$2:$C$114,'Daily Log'!$A$2:$A$114,"&gt;="&amp;A11,'Daily Log'!$A$2:$A$114,"&lt;"&amp;(A11+7)),"")</f>
        <v/>
      </c>
      <c r="E11" s="34">
        <f>IFERROR(AVERAGEIFS('Daily Log'!$D$2:$D$114,'Daily Log'!$A$2:$A$114,"&gt;="&amp;A11,'Daily Log'!$A$2:$A$114,"&lt;"&amp;(A11+7)),"")</f>
        <v/>
      </c>
      <c r="F11" s="3">
        <f>IF(C11="","",IF(C11&lt;=-0.5,"On pace",IF(C11&gt;0,"Check adherence","Slower than target")))</f>
        <v/>
      </c>
      <c r="G11" s="28">
        <f>Targets!$B$7</f>
        <v/>
      </c>
      <c r="H11" s="23">
        <f>Targets!$B$12</f>
        <v/>
      </c>
      <c r="I11" s="23">
        <f>Targets!$B$13</f>
        <v/>
      </c>
    </row>
    <row r="12">
      <c r="A12" s="32" t="n">
        <v>46313</v>
      </c>
      <c r="B12" s="33">
        <f>IFERROR(AVERAGEIFS('Daily Log'!$B$2:$B$114,'Daily Log'!$A$2:$A$114,"&gt;="&amp;A12,'Daily Log'!$A$2:$A$114,"&lt;"&amp;(A12+7)),"")</f>
        <v/>
      </c>
      <c r="C12" s="33">
        <f>IF(OR(B12="",B11=""),"",B12-B11)</f>
        <v/>
      </c>
      <c r="D12" s="34">
        <f>IFERROR(AVERAGEIFS('Daily Log'!$C$2:$C$114,'Daily Log'!$A$2:$A$114,"&gt;="&amp;A12,'Daily Log'!$A$2:$A$114,"&lt;"&amp;(A12+7)),"")</f>
        <v/>
      </c>
      <c r="E12" s="34">
        <f>IFERROR(AVERAGEIFS('Daily Log'!$D$2:$D$114,'Daily Log'!$A$2:$A$114,"&gt;="&amp;A12,'Daily Log'!$A$2:$A$114,"&lt;"&amp;(A12+7)),"")</f>
        <v/>
      </c>
      <c r="F12" s="3">
        <f>IF(C12="","",IF(C12&lt;=-0.5,"On pace",IF(C12&gt;0,"Check adherence","Slower than target")))</f>
        <v/>
      </c>
      <c r="G12" s="28">
        <f>Targets!$B$7</f>
        <v/>
      </c>
      <c r="H12" s="23">
        <f>Targets!$B$12</f>
        <v/>
      </c>
      <c r="I12" s="23">
        <f>Targets!$B$13</f>
        <v/>
      </c>
    </row>
    <row r="13">
      <c r="A13" s="32" t="n">
        <v>46320</v>
      </c>
      <c r="B13" s="33">
        <f>IFERROR(AVERAGEIFS('Daily Log'!$B$2:$B$114,'Daily Log'!$A$2:$A$114,"&gt;="&amp;A13,'Daily Log'!$A$2:$A$114,"&lt;"&amp;(A13+7)),"")</f>
        <v/>
      </c>
      <c r="C13" s="33">
        <f>IF(OR(B13="",B12=""),"",B13-B12)</f>
        <v/>
      </c>
      <c r="D13" s="34">
        <f>IFERROR(AVERAGEIFS('Daily Log'!$C$2:$C$114,'Daily Log'!$A$2:$A$114,"&gt;="&amp;A13,'Daily Log'!$A$2:$A$114,"&lt;"&amp;(A13+7)),"")</f>
        <v/>
      </c>
      <c r="E13" s="34">
        <f>IFERROR(AVERAGEIFS('Daily Log'!$D$2:$D$114,'Daily Log'!$A$2:$A$114,"&gt;="&amp;A13,'Daily Log'!$A$2:$A$114,"&lt;"&amp;(A13+7)),"")</f>
        <v/>
      </c>
      <c r="F13" s="3">
        <f>IF(C13="","",IF(C13&lt;=-0.5,"On pace",IF(C13&gt;0,"Check adherence","Slower than target")))</f>
        <v/>
      </c>
      <c r="G13" s="28">
        <f>Targets!$B$7</f>
        <v/>
      </c>
      <c r="H13" s="23">
        <f>Targets!$B$12</f>
        <v/>
      </c>
      <c r="I13" s="23">
        <f>Targets!$B$13</f>
        <v/>
      </c>
    </row>
    <row r="14">
      <c r="A14" s="32" t="n">
        <v>46327</v>
      </c>
      <c r="B14" s="33">
        <f>IFERROR(AVERAGEIFS('Daily Log'!$B$2:$B$114,'Daily Log'!$A$2:$A$114,"&gt;="&amp;A14,'Daily Log'!$A$2:$A$114,"&lt;"&amp;(A14+7)),"")</f>
        <v/>
      </c>
      <c r="C14" s="33">
        <f>IF(OR(B14="",B13=""),"",B14-B13)</f>
        <v/>
      </c>
      <c r="D14" s="34">
        <f>IFERROR(AVERAGEIFS('Daily Log'!$C$2:$C$114,'Daily Log'!$A$2:$A$114,"&gt;="&amp;A14,'Daily Log'!$A$2:$A$114,"&lt;"&amp;(A14+7)),"")</f>
        <v/>
      </c>
      <c r="E14" s="34">
        <f>IFERROR(AVERAGEIFS('Daily Log'!$D$2:$D$114,'Daily Log'!$A$2:$A$114,"&gt;="&amp;A14,'Daily Log'!$A$2:$A$114,"&lt;"&amp;(A14+7)),"")</f>
        <v/>
      </c>
      <c r="F14" s="3">
        <f>IF(C14="","",IF(C14&lt;=-0.5,"On pace",IF(C14&gt;0,"Check adherence","Slower than target")))</f>
        <v/>
      </c>
      <c r="G14" s="28">
        <f>Targets!$B$7</f>
        <v/>
      </c>
      <c r="H14" s="23">
        <f>Targets!$B$12</f>
        <v/>
      </c>
      <c r="I14" s="23">
        <f>Targets!$B$13</f>
        <v/>
      </c>
    </row>
    <row r="15">
      <c r="A15" s="32" t="n">
        <v>46334</v>
      </c>
      <c r="B15" s="33">
        <f>IFERROR(AVERAGEIFS('Daily Log'!$B$2:$B$114,'Daily Log'!$A$2:$A$114,"&gt;="&amp;A15,'Daily Log'!$A$2:$A$114,"&lt;"&amp;(A15+7)),"")</f>
        <v/>
      </c>
      <c r="C15" s="33">
        <f>IF(OR(B15="",B14=""),"",B15-B14)</f>
        <v/>
      </c>
      <c r="D15" s="34">
        <f>IFERROR(AVERAGEIFS('Daily Log'!$C$2:$C$114,'Daily Log'!$A$2:$A$114,"&gt;="&amp;A15,'Daily Log'!$A$2:$A$114,"&lt;"&amp;(A15+7)),"")</f>
        <v/>
      </c>
      <c r="E15" s="34">
        <f>IFERROR(AVERAGEIFS('Daily Log'!$D$2:$D$114,'Daily Log'!$A$2:$A$114,"&gt;="&amp;A15,'Daily Log'!$A$2:$A$114,"&lt;"&amp;(A15+7)),"")</f>
        <v/>
      </c>
      <c r="F15" s="3">
        <f>IF(C15="","",IF(C15&lt;=-0.5,"On pace",IF(C15&gt;0,"Check adherence","Slower than target")))</f>
        <v/>
      </c>
      <c r="G15" s="28">
        <f>Targets!$B$7</f>
        <v/>
      </c>
      <c r="H15" s="23">
        <f>Targets!$B$12</f>
        <v/>
      </c>
      <c r="I15" s="23">
        <f>Targets!$B$13</f>
        <v/>
      </c>
    </row>
    <row r="16">
      <c r="A16" s="32" t="n">
        <v>46341</v>
      </c>
      <c r="B16" s="33">
        <f>IFERROR(AVERAGEIFS('Daily Log'!$B$2:$B$114,'Daily Log'!$A$2:$A$114,"&gt;="&amp;A16,'Daily Log'!$A$2:$A$114,"&lt;"&amp;(A16+7)),"")</f>
        <v/>
      </c>
      <c r="C16" s="33">
        <f>IF(OR(B16="",B15=""),"",B16-B15)</f>
        <v/>
      </c>
      <c r="D16" s="34">
        <f>IFERROR(AVERAGEIFS('Daily Log'!$C$2:$C$114,'Daily Log'!$A$2:$A$114,"&gt;="&amp;A16,'Daily Log'!$A$2:$A$114,"&lt;"&amp;(A16+7)),"")</f>
        <v/>
      </c>
      <c r="E16" s="34">
        <f>IFERROR(AVERAGEIFS('Daily Log'!$D$2:$D$114,'Daily Log'!$A$2:$A$114,"&gt;="&amp;A16,'Daily Log'!$A$2:$A$114,"&lt;"&amp;(A16+7)),"")</f>
        <v/>
      </c>
      <c r="F16" s="3">
        <f>IF(C16="","",IF(C16&lt;=-0.5,"On pace",IF(C16&gt;0,"Check adherence","Slower than target")))</f>
        <v/>
      </c>
      <c r="G16" s="28">
        <f>Targets!$B$7</f>
        <v/>
      </c>
      <c r="H16" s="23">
        <f>Targets!$B$12</f>
        <v/>
      </c>
      <c r="I16" s="23">
        <f>Targets!$B$13</f>
        <v/>
      </c>
    </row>
    <row r="17">
      <c r="A17" s="32" t="n">
        <v>46348</v>
      </c>
      <c r="B17" s="33">
        <f>IFERROR(AVERAGEIFS('Daily Log'!$B$2:$B$114,'Daily Log'!$A$2:$A$114,"&gt;="&amp;A17,'Daily Log'!$A$2:$A$114,"&lt;"&amp;(A17+7)),"")</f>
        <v/>
      </c>
      <c r="C17" s="33">
        <f>IF(OR(B17="",B16=""),"",B17-B16)</f>
        <v/>
      </c>
      <c r="D17" s="34">
        <f>IFERROR(AVERAGEIFS('Daily Log'!$C$2:$C$114,'Daily Log'!$A$2:$A$114,"&gt;="&amp;A17,'Daily Log'!$A$2:$A$114,"&lt;"&amp;(A17+7)),"")</f>
        <v/>
      </c>
      <c r="E17" s="34">
        <f>IFERROR(AVERAGEIFS('Daily Log'!$D$2:$D$114,'Daily Log'!$A$2:$A$114,"&gt;="&amp;A17,'Daily Log'!$A$2:$A$114,"&lt;"&amp;(A17+7)),"")</f>
        <v/>
      </c>
      <c r="F17" s="3">
        <f>IF(C17="","",IF(C17&lt;=-0.5,"On pace",IF(C17&gt;0,"Check adherence","Slower than target")))</f>
        <v/>
      </c>
      <c r="G17" s="28">
        <f>Targets!$B$7</f>
        <v/>
      </c>
      <c r="H17" s="23">
        <f>Targets!$B$12</f>
        <v/>
      </c>
      <c r="I17" s="23">
        <f>Targets!$B$13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6" customWidth="1" min="4" max="4"/>
    <col width="10" customWidth="1" min="5" max="5"/>
    <col width="9" customWidth="1" min="6" max="6"/>
    <col width="9" customWidth="1" min="7" max="7"/>
    <col width="15" customWidth="1" min="8" max="8"/>
    <col width="16" customWidth="1" min="9" max="9"/>
    <col width="34" customWidth="1" min="10" max="10"/>
    <col width="14" customWidth="1" min="11" max="11"/>
    <col width="14" customWidth="1" min="12" max="12"/>
    <col width="12" customWidth="1" min="13" max="13"/>
  </cols>
  <sheetData>
    <row r="1">
      <c r="A1" s="1" t="inlineStr">
        <is>
          <t>Training &amp; Recovery</t>
        </is>
      </c>
    </row>
    <row r="2">
      <c r="A2" s="2" t="inlineStr">
        <is>
          <t>Ring + Tonal, logged from screenshots. Blue = you fill in. Sleep hours blank until the ring actually syncs a night.</t>
        </is>
      </c>
    </row>
    <row r="4">
      <c r="A4" s="15" t="inlineStr">
        <is>
          <t>Date</t>
        </is>
      </c>
      <c r="B4" s="15" t="inlineStr">
        <is>
          <t>Sleep (hrs)</t>
        </is>
      </c>
      <c r="C4" s="15" t="inlineStr">
        <is>
          <t>Resting HR</t>
        </is>
      </c>
      <c r="D4" s="15" t="inlineStr">
        <is>
          <t>HRV (ms)</t>
        </is>
      </c>
      <c r="E4" s="15" t="inlineStr">
        <is>
          <t>SpO2 (%)</t>
        </is>
      </c>
      <c r="F4" s="15" t="inlineStr">
        <is>
          <t>BP Sys</t>
        </is>
      </c>
      <c r="G4" s="15" t="inlineStr">
        <is>
          <t>BP Dia</t>
        </is>
      </c>
      <c r="H4" s="15" t="inlineStr">
        <is>
          <t>Tonal Volume (lbs)</t>
        </is>
      </c>
      <c r="I4" s="15" t="inlineStr">
        <is>
          <t>Tonal Duration (min)</t>
        </is>
      </c>
      <c r="J4" s="15" t="inlineStr">
        <is>
          <t>Notes</t>
        </is>
      </c>
      <c r="K4" s="15" t="inlineStr">
        <is>
          <t>7-day Avg RHR</t>
        </is>
      </c>
      <c r="L4" s="15" t="inlineStr">
        <is>
          <t>7-day Avg HRV</t>
        </is>
      </c>
      <c r="M4" s="15" t="inlineStr">
        <is>
          <t>Steps</t>
        </is>
      </c>
    </row>
    <row r="5">
      <c r="A5" s="29" t="n">
        <v>46249</v>
      </c>
      <c r="B5" s="18" t="n"/>
      <c r="C5" s="18" t="n">
        <v>84</v>
      </c>
      <c r="D5" s="18" t="n">
        <v>128</v>
      </c>
      <c r="E5" s="18" t="n">
        <v>98</v>
      </c>
      <c r="F5" s="18" t="n">
        <v>129</v>
      </c>
      <c r="G5" s="18" t="n">
        <v>89</v>
      </c>
      <c r="H5" s="18" t="n"/>
      <c r="I5" s="18" t="n"/>
      <c r="J5" s="18" t="inlineStr">
        <is>
          <t>Ring (generic/TK5) synced mid-day, sleep not yet recorded. Tonal: mid-session screenshot (Standing Single-Arm Row -&gt; Standing Chest Press) — send the end-of-workout summary screen for full volume/duration/calories.</t>
        </is>
      </c>
      <c r="K5" s="31">
        <f>IFERROR(AVERAGEIFS($C$5:$C5,$A$5:$A5,"&gt;="&amp;(A5-6),$A$5:$A5,"&lt;="&amp;A5),"")</f>
        <v/>
      </c>
      <c r="L5" s="31">
        <f>IFERROR(AVERAGEIFS($D$5:$D5,$A$5:$A5,"&gt;="&amp;(A5-6),$A$5:$A5,"&lt;="&amp;A5),"")</f>
        <v/>
      </c>
      <c r="M5" s="18" t="n"/>
    </row>
    <row r="6">
      <c r="A6" s="32" t="n">
        <v>46250</v>
      </c>
      <c r="B6" s="18" t="n"/>
      <c r="C6" s="18" t="n"/>
      <c r="D6" s="18" t="n"/>
      <c r="E6" s="18" t="n"/>
      <c r="F6" s="18" t="n"/>
      <c r="G6" s="18" t="n"/>
      <c r="H6" s="18" t="n"/>
      <c r="I6" s="18" t="n"/>
      <c r="K6" s="31">
        <f>IFERROR(AVERAGEIFS($C$5:$C6,$A$5:$A6,"&gt;="&amp;(A6-6),$A$5:$A6,"&lt;="&amp;A6),"")</f>
        <v/>
      </c>
      <c r="L6" s="31">
        <f>IFERROR(AVERAGEIFS($D$5:$D6,$A$5:$A6,"&gt;="&amp;(A6-6),$A$5:$A6,"&lt;="&amp;A6),"")</f>
        <v/>
      </c>
      <c r="M6" s="18" t="n"/>
    </row>
    <row r="7">
      <c r="A7" s="32" t="n">
        <v>46251</v>
      </c>
      <c r="B7" s="18" t="n"/>
      <c r="C7" s="18" t="n"/>
      <c r="D7" s="18" t="n"/>
      <c r="E7" s="18" t="n"/>
      <c r="F7" s="18" t="n"/>
      <c r="G7" s="18" t="n"/>
      <c r="H7" s="18" t="n"/>
      <c r="I7" s="18" t="n"/>
      <c r="K7" s="31">
        <f>IFERROR(AVERAGEIFS($C$5:$C7,$A$5:$A7,"&gt;="&amp;(A7-6),$A$5:$A7,"&lt;="&amp;A7),"")</f>
        <v/>
      </c>
      <c r="L7" s="31">
        <f>IFERROR(AVERAGEIFS($D$5:$D7,$A$5:$A7,"&gt;="&amp;(A7-6),$A$5:$A7,"&lt;="&amp;A7),"")</f>
        <v/>
      </c>
      <c r="M7" s="18" t="n"/>
    </row>
    <row r="8">
      <c r="A8" s="32" t="n">
        <v>46252</v>
      </c>
      <c r="B8" s="18" t="n"/>
      <c r="C8" s="18" t="n"/>
      <c r="D8" s="18" t="n"/>
      <c r="E8" s="18" t="n"/>
      <c r="F8" s="18" t="n"/>
      <c r="G8" s="18" t="n"/>
      <c r="H8" s="18" t="n"/>
      <c r="I8" s="18" t="n"/>
      <c r="K8" s="31">
        <f>IFERROR(AVERAGEIFS($C$5:$C8,$A$5:$A8,"&gt;="&amp;(A8-6),$A$5:$A8,"&lt;="&amp;A8),"")</f>
        <v/>
      </c>
      <c r="L8" s="31">
        <f>IFERROR(AVERAGEIFS($D$5:$D8,$A$5:$A8,"&gt;="&amp;(A8-6),$A$5:$A8,"&lt;="&amp;A8),"")</f>
        <v/>
      </c>
      <c r="M8" s="18" t="n"/>
    </row>
    <row r="9">
      <c r="A9" s="32" t="n">
        <v>46253</v>
      </c>
      <c r="B9" s="18" t="n"/>
      <c r="C9" s="18" t="n"/>
      <c r="D9" s="18" t="n"/>
      <c r="E9" s="18" t="n"/>
      <c r="F9" s="18" t="n"/>
      <c r="G9" s="18" t="n"/>
      <c r="H9" s="18" t="n">
        <v>4792</v>
      </c>
      <c r="I9" s="18" t="n">
        <v>14.3</v>
      </c>
      <c r="J9" t="inlineStr">
        <is>
          <t>Tonal end-of-workout summary, 7:20pm. Volume 4,792 lbs, Duration 14:16, Movement Target 100%, Calories Burned 101, Work 9.8 kJ, Time Under Tension 6:06, Coaching Cues 0. Strong volume day - highest of the Last-8-Days view (Fri 4,960 lbs, Sat 4,438 lbs, today 4,792 lbs).</t>
        </is>
      </c>
      <c r="K9" s="31">
        <f>IFERROR(AVERAGEIFS($C$5:$C9,$A$5:$A9,"&gt;="&amp;(A9-6),$A$5:$A9,"&lt;="&amp;A9),"")</f>
        <v/>
      </c>
      <c r="L9" s="31">
        <f>IFERROR(AVERAGEIFS($D$5:$D9,$A$5:$A9,"&gt;="&amp;(A9-6),$A$5:$A9,"&lt;="&amp;A9),"")</f>
        <v/>
      </c>
      <c r="M9" s="18" t="n"/>
    </row>
    <row r="10">
      <c r="A10" s="32" t="n">
        <v>46254</v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K10" s="31">
        <f>IFERROR(AVERAGEIFS($C$5:$C10,$A$5:$A10,"&gt;="&amp;(A10-6),$A$5:$A10,"&lt;="&amp;A10),"")</f>
        <v/>
      </c>
      <c r="L10" s="31">
        <f>IFERROR(AVERAGEIFS($D$5:$D10,$A$5:$A10,"&gt;="&amp;(A10-6),$A$5:$A10,"&lt;="&amp;A10),"")</f>
        <v/>
      </c>
      <c r="M10" s="18" t="n"/>
    </row>
    <row r="11">
      <c r="A11" s="32" t="n">
        <v>46255</v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K11" s="31">
        <f>IFERROR(AVERAGEIFS($C$5:$C11,$A$5:$A11,"&gt;="&amp;(A11-6),$A$5:$A11,"&lt;="&amp;A11),"")</f>
        <v/>
      </c>
      <c r="L11" s="31">
        <f>IFERROR(AVERAGEIFS($D$5:$D11,$A$5:$A11,"&gt;="&amp;(A11-6),$A$5:$A11,"&lt;="&amp;A11),"")</f>
        <v/>
      </c>
      <c r="M11" s="18" t="n"/>
    </row>
    <row r="12">
      <c r="A12" s="32" t="n">
        <v>46256</v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K12" s="31">
        <f>IFERROR(AVERAGEIFS($C$5:$C12,$A$5:$A12,"&gt;="&amp;(A12-6),$A$5:$A12,"&lt;="&amp;A12),"")</f>
        <v/>
      </c>
      <c r="L12" s="31">
        <f>IFERROR(AVERAGEIFS($D$5:$D12,$A$5:$A12,"&gt;="&amp;(A12-6),$A$5:$A12,"&lt;="&amp;A12),"")</f>
        <v/>
      </c>
      <c r="M12" s="18" t="n"/>
    </row>
    <row r="13">
      <c r="A13" s="32" t="n">
        <v>46257</v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K13" s="31">
        <f>IFERROR(AVERAGEIFS($C$5:$C13,$A$5:$A13,"&gt;="&amp;(A13-6),$A$5:$A13,"&lt;="&amp;A13),"")</f>
        <v/>
      </c>
      <c r="L13" s="31">
        <f>IFERROR(AVERAGEIFS($D$5:$D13,$A$5:$A13,"&gt;="&amp;(A13-6),$A$5:$A13,"&lt;="&amp;A13),"")</f>
        <v/>
      </c>
      <c r="M13" s="18" t="n"/>
    </row>
    <row r="14">
      <c r="A14" s="32" t="n">
        <v>46258</v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K14" s="31">
        <f>IFERROR(AVERAGEIFS($C$5:$C14,$A$5:$A14,"&gt;="&amp;(A14-6),$A$5:$A14,"&lt;="&amp;A14),"")</f>
        <v/>
      </c>
      <c r="L14" s="31">
        <f>IFERROR(AVERAGEIFS($D$5:$D14,$A$5:$A14,"&gt;="&amp;(A14-6),$A$5:$A14,"&lt;="&amp;A14),"")</f>
        <v/>
      </c>
      <c r="M14" s="18" t="n"/>
    </row>
    <row r="15">
      <c r="A15" s="32" t="n">
        <v>46259</v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K15" s="31">
        <f>IFERROR(AVERAGEIFS($C$5:$C15,$A$5:$A15,"&gt;="&amp;(A15-6),$A$5:$A15,"&lt;="&amp;A15),"")</f>
        <v/>
      </c>
      <c r="L15" s="31">
        <f>IFERROR(AVERAGEIFS($D$5:$D15,$A$5:$A15,"&gt;="&amp;(A15-6),$A$5:$A15,"&lt;="&amp;A15),"")</f>
        <v/>
      </c>
      <c r="M15" s="18" t="n"/>
    </row>
    <row r="16">
      <c r="A16" s="32" t="n">
        <v>46260</v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K16" s="31">
        <f>IFERROR(AVERAGEIFS($C$5:$C16,$A$5:$A16,"&gt;="&amp;(A16-6),$A$5:$A16,"&lt;="&amp;A16),"")</f>
        <v/>
      </c>
      <c r="L16" s="31">
        <f>IFERROR(AVERAGEIFS($D$5:$D16,$A$5:$A16,"&gt;="&amp;(A16-6),$A$5:$A16,"&lt;="&amp;A16),"")</f>
        <v/>
      </c>
      <c r="M16" s="18" t="n"/>
    </row>
    <row r="17">
      <c r="A17" s="32" t="n">
        <v>46261</v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K17" s="31">
        <f>IFERROR(AVERAGEIFS($C$5:$C17,$A$5:$A17,"&gt;="&amp;(A17-6),$A$5:$A17,"&lt;="&amp;A17),"")</f>
        <v/>
      </c>
      <c r="L17" s="31">
        <f>IFERROR(AVERAGEIFS($D$5:$D17,$A$5:$A17,"&gt;="&amp;(A17-6),$A$5:$A17,"&lt;="&amp;A17),"")</f>
        <v/>
      </c>
      <c r="M17" s="18" t="n"/>
    </row>
    <row r="18">
      <c r="A18" s="32" t="n">
        <v>46262</v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K18" s="31">
        <f>IFERROR(AVERAGEIFS($C$5:$C18,$A$5:$A18,"&gt;="&amp;(A18-6),$A$5:$A18,"&lt;="&amp;A18),"")</f>
        <v/>
      </c>
      <c r="L18" s="31">
        <f>IFERROR(AVERAGEIFS($D$5:$D18,$A$5:$A18,"&gt;="&amp;(A18-6),$A$5:$A18,"&lt;="&amp;A18),"")</f>
        <v/>
      </c>
      <c r="M18" s="18" t="n"/>
    </row>
    <row r="19">
      <c r="A19" s="32" t="n">
        <v>46263</v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K19" s="31">
        <f>IFERROR(AVERAGEIFS($C$5:$C19,$A$5:$A19,"&gt;="&amp;(A19-6),$A$5:$A19,"&lt;="&amp;A19),"")</f>
        <v/>
      </c>
      <c r="L19" s="31">
        <f>IFERROR(AVERAGEIFS($D$5:$D19,$A$5:$A19,"&gt;="&amp;(A19-6),$A$5:$A19,"&lt;="&amp;A19),"")</f>
        <v/>
      </c>
      <c r="M19" s="18" t="n"/>
    </row>
    <row r="20">
      <c r="A20" s="32" t="n">
        <v>46264</v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K20" s="31">
        <f>IFERROR(AVERAGEIFS($C$5:$C20,$A$5:$A20,"&gt;="&amp;(A20-6),$A$5:$A20,"&lt;="&amp;A20),"")</f>
        <v/>
      </c>
      <c r="L20" s="31">
        <f>IFERROR(AVERAGEIFS($D$5:$D20,$A$5:$A20,"&gt;="&amp;(A20-6),$A$5:$A20,"&lt;="&amp;A20),"")</f>
        <v/>
      </c>
      <c r="M20" s="18" t="n"/>
    </row>
    <row r="21">
      <c r="A21" s="32" t="n">
        <v>46265</v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K21" s="31">
        <f>IFERROR(AVERAGEIFS($C$5:$C21,$A$5:$A21,"&gt;="&amp;(A21-6),$A$5:$A21,"&lt;="&amp;A21),"")</f>
        <v/>
      </c>
      <c r="L21" s="31">
        <f>IFERROR(AVERAGEIFS($D$5:$D21,$A$5:$A21,"&gt;="&amp;(A21-6),$A$5:$A21,"&lt;="&amp;A21),"")</f>
        <v/>
      </c>
      <c r="M21" s="18" t="n"/>
    </row>
    <row r="22">
      <c r="A22" s="32" t="n">
        <v>46266</v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K22" s="31">
        <f>IFERROR(AVERAGEIFS($C$5:$C22,$A$5:$A22,"&gt;="&amp;(A22-6),$A$5:$A22,"&lt;="&amp;A22),"")</f>
        <v/>
      </c>
      <c r="L22" s="31">
        <f>IFERROR(AVERAGEIFS($D$5:$D22,$A$5:$A22,"&gt;="&amp;(A22-6),$A$5:$A22,"&lt;="&amp;A22),"")</f>
        <v/>
      </c>
      <c r="M22" s="18" t="n"/>
    </row>
    <row r="23">
      <c r="A23" s="32" t="n">
        <v>46267</v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K23" s="31">
        <f>IFERROR(AVERAGEIFS($C$5:$C23,$A$5:$A23,"&gt;="&amp;(A23-6),$A$5:$A23,"&lt;="&amp;A23),"")</f>
        <v/>
      </c>
      <c r="L23" s="31">
        <f>IFERROR(AVERAGEIFS($D$5:$D23,$A$5:$A23,"&gt;="&amp;(A23-6),$A$5:$A23,"&lt;="&amp;A23),"")</f>
        <v/>
      </c>
      <c r="M23" s="18" t="n"/>
    </row>
    <row r="24">
      <c r="A24" s="32" t="n">
        <v>46268</v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K24" s="31">
        <f>IFERROR(AVERAGEIFS($C$5:$C24,$A$5:$A24,"&gt;="&amp;(A24-6),$A$5:$A24,"&lt;="&amp;A24),"")</f>
        <v/>
      </c>
      <c r="L24" s="31">
        <f>IFERROR(AVERAGEIFS($D$5:$D24,$A$5:$A24,"&gt;="&amp;(A24-6),$A$5:$A24,"&lt;="&amp;A24),"")</f>
        <v/>
      </c>
      <c r="M24" s="18" t="n"/>
    </row>
    <row r="25">
      <c r="A25" s="32" t="n">
        <v>46269</v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K25" s="31">
        <f>IFERROR(AVERAGEIFS($C$5:$C25,$A$5:$A25,"&gt;="&amp;(A25-6),$A$5:$A25,"&lt;="&amp;A25),"")</f>
        <v/>
      </c>
      <c r="L25" s="31">
        <f>IFERROR(AVERAGEIFS($D$5:$D25,$A$5:$A25,"&gt;="&amp;(A25-6),$A$5:$A25,"&lt;="&amp;A25),"")</f>
        <v/>
      </c>
      <c r="M25" s="18" t="n"/>
    </row>
    <row r="26">
      <c r="A26" s="32" t="n">
        <v>46270</v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K26" s="31">
        <f>IFERROR(AVERAGEIFS($C$5:$C26,$A$5:$A26,"&gt;="&amp;(A26-6),$A$5:$A26,"&lt;="&amp;A26),"")</f>
        <v/>
      </c>
      <c r="L26" s="31">
        <f>IFERROR(AVERAGEIFS($D$5:$D26,$A$5:$A26,"&gt;="&amp;(A26-6),$A$5:$A26,"&lt;="&amp;A26),"")</f>
        <v/>
      </c>
      <c r="M26" s="18" t="n"/>
    </row>
    <row r="27">
      <c r="A27" s="32" t="n">
        <v>46271</v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K27" s="31">
        <f>IFERROR(AVERAGEIFS($C$5:$C27,$A$5:$A27,"&gt;="&amp;(A27-6),$A$5:$A27,"&lt;="&amp;A27),"")</f>
        <v/>
      </c>
      <c r="L27" s="31">
        <f>IFERROR(AVERAGEIFS($D$5:$D27,$A$5:$A27,"&gt;="&amp;(A27-6),$A$5:$A27,"&lt;="&amp;A27),"")</f>
        <v/>
      </c>
      <c r="M27" s="18" t="n"/>
    </row>
    <row r="28">
      <c r="A28" s="32" t="n">
        <v>46272</v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K28" s="31">
        <f>IFERROR(AVERAGEIFS($C$5:$C28,$A$5:$A28,"&gt;="&amp;(A28-6),$A$5:$A28,"&lt;="&amp;A28),"")</f>
        <v/>
      </c>
      <c r="L28" s="31">
        <f>IFERROR(AVERAGEIFS($D$5:$D28,$A$5:$A28,"&gt;="&amp;(A28-6),$A$5:$A28,"&lt;="&amp;A28),"")</f>
        <v/>
      </c>
      <c r="M28" s="18" t="n"/>
    </row>
    <row r="29">
      <c r="A29" s="32" t="n">
        <v>46273</v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K29" s="31">
        <f>IFERROR(AVERAGEIFS($C$5:$C29,$A$5:$A29,"&gt;="&amp;(A29-6),$A$5:$A29,"&lt;="&amp;A29),"")</f>
        <v/>
      </c>
      <c r="L29" s="31">
        <f>IFERROR(AVERAGEIFS($D$5:$D29,$A$5:$A29,"&gt;="&amp;(A29-6),$A$5:$A29,"&lt;="&amp;A29),"")</f>
        <v/>
      </c>
      <c r="M29" s="18" t="n"/>
    </row>
    <row r="30">
      <c r="A30" s="32" t="n">
        <v>46274</v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K30" s="31">
        <f>IFERROR(AVERAGEIFS($C$5:$C30,$A$5:$A30,"&gt;="&amp;(A30-6),$A$5:$A30,"&lt;="&amp;A30),"")</f>
        <v/>
      </c>
      <c r="L30" s="31">
        <f>IFERROR(AVERAGEIFS($D$5:$D30,$A$5:$A30,"&gt;="&amp;(A30-6),$A$5:$A30,"&lt;="&amp;A30),"")</f>
        <v/>
      </c>
      <c r="M30" s="18" t="n"/>
    </row>
    <row r="31">
      <c r="A31" s="32" t="n">
        <v>46275</v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K31" s="31">
        <f>IFERROR(AVERAGEIFS($C$5:$C31,$A$5:$A31,"&gt;="&amp;(A31-6),$A$5:$A31,"&lt;="&amp;A31),"")</f>
        <v/>
      </c>
      <c r="L31" s="31">
        <f>IFERROR(AVERAGEIFS($D$5:$D31,$A$5:$A31,"&gt;="&amp;(A31-6),$A$5:$A31,"&lt;="&amp;A31),"")</f>
        <v/>
      </c>
      <c r="M31" s="18" t="n"/>
    </row>
    <row r="32">
      <c r="A32" s="32" t="n">
        <v>46276</v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K32" s="31">
        <f>IFERROR(AVERAGEIFS($C$5:$C32,$A$5:$A32,"&gt;="&amp;(A32-6),$A$5:$A32,"&lt;="&amp;A32),"")</f>
        <v/>
      </c>
      <c r="L32" s="31">
        <f>IFERROR(AVERAGEIFS($D$5:$D32,$A$5:$A32,"&gt;="&amp;(A32-6),$A$5:$A32,"&lt;="&amp;A32),"")</f>
        <v/>
      </c>
      <c r="M32" s="18" t="n"/>
    </row>
    <row r="33">
      <c r="A33" s="32" t="n">
        <v>46277</v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K33" s="31">
        <f>IFERROR(AVERAGEIFS($C$5:$C33,$A$5:$A33,"&gt;="&amp;(A33-6),$A$5:$A33,"&lt;="&amp;A33),"")</f>
        <v/>
      </c>
      <c r="L33" s="31">
        <f>IFERROR(AVERAGEIFS($D$5:$D33,$A$5:$A33,"&gt;="&amp;(A33-6),$A$5:$A33,"&lt;="&amp;A33),"")</f>
        <v/>
      </c>
      <c r="M33" s="18" t="n"/>
    </row>
    <row r="34">
      <c r="A34" s="32" t="n">
        <v>46278</v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K34" s="31">
        <f>IFERROR(AVERAGEIFS($C$5:$C34,$A$5:$A34,"&gt;="&amp;(A34-6),$A$5:$A34,"&lt;="&amp;A34),"")</f>
        <v/>
      </c>
      <c r="L34" s="31">
        <f>IFERROR(AVERAGEIFS($D$5:$D34,$A$5:$A34,"&gt;="&amp;(A34-6),$A$5:$A34,"&lt;="&amp;A34),"")</f>
        <v/>
      </c>
      <c r="M34" s="18" t="n"/>
    </row>
    <row r="35">
      <c r="A35" s="32" t="n">
        <v>46279</v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K35" s="31">
        <f>IFERROR(AVERAGEIFS($C$5:$C35,$A$5:$A35,"&gt;="&amp;(A35-6),$A$5:$A35,"&lt;="&amp;A35),"")</f>
        <v/>
      </c>
      <c r="L35" s="31">
        <f>IFERROR(AVERAGEIFS($D$5:$D35,$A$5:$A35,"&gt;="&amp;(A35-6),$A$5:$A35,"&lt;="&amp;A35),"")</f>
        <v/>
      </c>
    </row>
    <row r="36">
      <c r="A36" s="32" t="n">
        <v>46280</v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K36" s="31">
        <f>IFERROR(AVERAGEIFS($C$5:$C36,$A$5:$A36,"&gt;="&amp;(A36-6),$A$5:$A36,"&lt;="&amp;A36),"")</f>
        <v/>
      </c>
      <c r="L36" s="31">
        <f>IFERROR(AVERAGEIFS($D$5:$D36,$A$5:$A36,"&gt;="&amp;(A36-6),$A$5:$A36,"&lt;="&amp;A36),"")</f>
        <v/>
      </c>
    </row>
    <row r="37">
      <c r="A37" s="32" t="n">
        <v>46281</v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K37" s="31">
        <f>IFERROR(AVERAGEIFS($C$5:$C37,$A$5:$A37,"&gt;="&amp;(A37-6),$A$5:$A37,"&lt;="&amp;A37),"")</f>
        <v/>
      </c>
      <c r="L37" s="31">
        <f>IFERROR(AVERAGEIFS($D$5:$D37,$A$5:$A37,"&gt;="&amp;(A37-6),$A$5:$A37,"&lt;="&amp;A37),"")</f>
        <v/>
      </c>
    </row>
    <row r="38">
      <c r="A38" s="39" t="inlineStr">
        <is>
          <t>Field Status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K38" s="31">
        <f>IFERROR(AVERAGEIFS($C$5:$C38,$A$5:$A38,"&gt;="&amp;(A38-6),$A$5:$A38,"&lt;="&amp;A38),"")</f>
        <v/>
      </c>
      <c r="L38" s="31">
        <f>IFERROR(AVERAGEIFS($D$5:$D38,$A$5:$A38,"&gt;="&amp;(A38-6),$A$5:$A38,"&lt;="&amp;A38),"")</f>
        <v/>
      </c>
    </row>
    <row r="39">
      <c r="A39" s="40" t="inlineStr">
        <is>
          <t>Supplementary fields only — core nutrition/weight logging is never questioned. A field silent 10+ days flips to "REVIEW", which means: ask Roberto whether to keep watching for it or retire it from the dashboard.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K39" s="31">
        <f>IFERROR(AVERAGEIFS($C$5:$C39,$A$5:$A39,"&gt;="&amp;(A39-6),$A$5:$A39,"&lt;="&amp;A39),"")</f>
        <v/>
      </c>
      <c r="L39" s="31">
        <f>IFERROR(AVERAGEIFS($D$5:$D39,$A$5:$A39,"&gt;="&amp;(A39-6),$A$5:$A39,"&lt;="&amp;A39),"")</f>
        <v/>
      </c>
    </row>
    <row r="40">
      <c r="A40" s="32" t="n">
        <v>46284</v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K40" s="31">
        <f>IFERROR(AVERAGEIFS($C$5:$C40,$A$5:$A40,"&gt;="&amp;(A40-6),$A$5:$A40,"&lt;="&amp;A40),"")</f>
        <v/>
      </c>
      <c r="L40" s="31">
        <f>IFERROR(AVERAGEIFS($D$5:$D40,$A$5:$A40,"&gt;="&amp;(A40-6),$A$5:$A40,"&lt;="&amp;A40),"")</f>
        <v/>
      </c>
    </row>
    <row r="41">
      <c r="A41" s="41" t="inlineStr">
        <is>
          <t>Field</t>
        </is>
      </c>
      <c r="B41" s="15" t="inlineStr">
        <is>
          <t>Last Logged</t>
        </is>
      </c>
      <c r="C41" s="15" t="inlineStr">
        <is>
          <t>Days Idle</t>
        </is>
      </c>
      <c r="D41" s="15" t="inlineStr">
        <is>
          <t>Status</t>
        </is>
      </c>
      <c r="E41" s="18" t="n"/>
      <c r="F41" s="18" t="n"/>
      <c r="G41" s="18" t="n"/>
      <c r="H41" s="18" t="n"/>
      <c r="I41" s="18" t="n"/>
      <c r="K41" s="31">
        <f>IFERROR(AVERAGEIFS($C$5:$C41,$A$5:$A41,"&gt;="&amp;(A41-6),$A$5:$A41,"&lt;="&amp;A41),"")</f>
        <v/>
      </c>
      <c r="L41" s="31">
        <f>IFERROR(AVERAGEIFS($D$5:$D41,$A$5:$A41,"&gt;="&amp;(A41-6),$A$5:$A41,"&lt;="&amp;A41),"")</f>
        <v/>
      </c>
    </row>
    <row r="42">
      <c r="A42" s="32" t="inlineStr">
        <is>
          <t>Recovery Reading (ring)</t>
        </is>
      </c>
      <c r="B42" s="37">
        <f>IFERROR(_xlfn.MAXIFS($A$5:$A$34,$C$5:$C$34,"&lt;&gt;"),"")</f>
        <v/>
      </c>
      <c r="C42" s="38">
        <f>IF(B42="","",TODAY()-B42)</f>
        <v/>
      </c>
      <c r="D42" s="3">
        <f>IF(B42="","no data yet",IF(C42&gt;=10,"REVIEW — ask Roberto","Active"))</f>
        <v/>
      </c>
      <c r="E42" s="18" t="n"/>
      <c r="F42" s="18" t="n"/>
      <c r="G42" s="18" t="n"/>
      <c r="H42" s="18" t="n"/>
      <c r="I42" s="18" t="n"/>
      <c r="K42" s="31">
        <f>IFERROR(AVERAGEIFS($C$5:$C42,$A$5:$A42,"&gt;="&amp;(A42-6),$A$5:$A42,"&lt;="&amp;A42),"")</f>
        <v/>
      </c>
      <c r="L42" s="31">
        <f>IFERROR(AVERAGEIFS($D$5:$D42,$A$5:$A42,"&gt;="&amp;(A42-6),$A$5:$A42,"&lt;="&amp;A42),"")</f>
        <v/>
      </c>
    </row>
    <row r="43">
      <c r="A43" s="32" t="inlineStr">
        <is>
          <t>Steps</t>
        </is>
      </c>
      <c r="B43" s="37">
        <f>IFERROR(_xlfn.MAXIFS($A$5:$A$34,$M$5:$M$34,"&lt;&gt;"),"")</f>
        <v/>
      </c>
      <c r="C43" s="38">
        <f>IF(B43="","",TODAY()-B43)</f>
        <v/>
      </c>
      <c r="D43" s="3">
        <f>IF(B43="","no data yet",IF(C43&gt;=10,"REVIEW — ask Roberto","Active"))</f>
        <v/>
      </c>
      <c r="E43" s="18" t="n"/>
      <c r="F43" s="18" t="n"/>
      <c r="G43" s="18" t="n"/>
      <c r="H43" s="18" t="n"/>
      <c r="I43" s="18" t="n"/>
      <c r="K43" s="31">
        <f>IFERROR(AVERAGEIFS($C$5:$C43,$A$5:$A43,"&gt;="&amp;(A43-6),$A$5:$A43,"&lt;="&amp;A43),"")</f>
        <v/>
      </c>
      <c r="L43" s="31">
        <f>IFERROR(AVERAGEIFS($D$5:$D43,$A$5:$A43,"&gt;="&amp;(A43-6),$A$5:$A43,"&lt;="&amp;A43),"")</f>
        <v/>
      </c>
    </row>
    <row r="44">
      <c r="A44" s="32" t="inlineStr">
        <is>
          <t>Tonal Training</t>
        </is>
      </c>
      <c r="B44" s="37">
        <f>IFERROR(_xlfn.MAXIFS($A$5:$A$34,$H$5:$H$34,"&lt;&gt;"),"")</f>
        <v/>
      </c>
      <c r="C44" s="38">
        <f>IF(B44="","",TODAY()-B44)</f>
        <v/>
      </c>
      <c r="D44" s="3">
        <f>IF(B44="","no data yet",IF(C44&gt;=10,"REVIEW — ask Roberto","Active"))</f>
        <v/>
      </c>
      <c r="E44" s="18" t="n"/>
      <c r="F44" s="18" t="n"/>
      <c r="G44" s="18" t="n"/>
      <c r="H44" s="18" t="n"/>
      <c r="I44" s="18" t="n"/>
      <c r="K44" s="31">
        <f>IFERROR(AVERAGEIFS($C$5:$C44,$A$5:$A44,"&gt;="&amp;(A44-6),$A$5:$A44,"&lt;="&amp;A44),"")</f>
        <v/>
      </c>
      <c r="L44" s="31">
        <f>IFERROR(AVERAGEIFS($D$5:$D44,$A$5:$A44,"&gt;="&amp;(A44-6),$A$5:$A44,"&lt;="&amp;A44),"")</f>
        <v/>
      </c>
    </row>
    <row r="45">
      <c r="A45" s="32" t="inlineStr">
        <is>
          <t>Bloodwork</t>
        </is>
      </c>
      <c r="B45" s="37">
        <f>IFERROR(IF(MAX(Bloodwork!$A$5:$A$16)=0,"",MAX(Bloodwork!$A$5:$A$16)),"")</f>
        <v/>
      </c>
      <c r="C45" s="38">
        <f>IF(B45="","",TODAY()-B45)</f>
        <v/>
      </c>
      <c r="D45" s="3">
        <f>IF(B45="","no data yet",IF(C45&gt;=10,"REVIEW — ask Roberto","Active"))</f>
        <v/>
      </c>
      <c r="E45" s="18" t="n"/>
      <c r="F45" s="18" t="n"/>
      <c r="G45" s="18" t="n"/>
      <c r="H45" s="18" t="n"/>
      <c r="I45" s="18" t="n"/>
      <c r="K45" s="31">
        <f>IFERROR(AVERAGEIFS($C$5:$C45,$A$5:$A45,"&gt;="&amp;(A45-6),$A$5:$A45,"&lt;="&amp;A45),"")</f>
        <v/>
      </c>
      <c r="L45" s="31">
        <f>IFERROR(AVERAGEIFS($D$5:$D45,$A$5:$A45,"&gt;="&amp;(A45-6),$A$5:$A45,"&lt;="&amp;A45),"")</f>
        <v/>
      </c>
    </row>
    <row r="46">
      <c r="A46" s="32" t="n">
        <v>46290</v>
      </c>
      <c r="B46" s="18" t="n"/>
      <c r="C46" s="43" t="inlineStr">
        <is>
          <t>Field</t>
        </is>
      </c>
      <c r="D46" s="43" t="inlineStr">
        <is>
          <t>Last Logged</t>
        </is>
      </c>
      <c r="E46" s="43" t="inlineStr">
        <is>
          <t>Days Idle</t>
        </is>
      </c>
      <c r="F46" s="43" t="inlineStr">
        <is>
          <t>Status</t>
        </is>
      </c>
      <c r="G46" s="18" t="n"/>
      <c r="H46" s="18" t="n"/>
      <c r="I46" s="18" t="n"/>
      <c r="K46" s="31">
        <f>IFERROR(AVERAGEIFS($C$5:$C46,$A$5:$A46,"&gt;="&amp;(A46-6),$A$5:$A46,"&lt;="&amp;A46),"")</f>
        <v/>
      </c>
      <c r="L46" s="31">
        <f>IFERROR(AVERAGEIFS($D$5:$D46,$A$5:$A46,"&gt;="&amp;(A46-6),$A$5:$A46,"&lt;="&amp;A46),"")</f>
        <v/>
      </c>
    </row>
    <row r="47">
      <c r="A47" s="32" t="n">
        <v>46291</v>
      </c>
      <c r="B47" s="18" t="n"/>
      <c r="C47" s="18" t="inlineStr">
        <is>
          <t>Waist</t>
        </is>
      </c>
      <c r="D47" s="18">
        <f>IFERROR(_xlfn.MAXIFS('Daily Log'!$A$2:$A$200,'Daily Log'!$N$2:$N$200,"&lt;&gt;"),"")</f>
        <v/>
      </c>
      <c r="E47" s="18">
        <f>IF(D47="","",TODAY()-D47)</f>
        <v/>
      </c>
      <c r="F47" s="18">
        <f>IF(D47="","no data yet",IF(E47&gt;=10,"REVIEW — ask Roberto","Active"))</f>
        <v/>
      </c>
      <c r="G47" s="18" t="n"/>
      <c r="H47" s="18" t="n"/>
      <c r="I47" s="18" t="n"/>
      <c r="K47" s="31">
        <f>IFERROR(AVERAGEIFS($C$5:$C47,$A$5:$A47,"&gt;="&amp;(A47-6),$A$5:$A47,"&lt;="&amp;A47),"")</f>
        <v/>
      </c>
      <c r="L47" s="31">
        <f>IFERROR(AVERAGEIFS($D$5:$D47,$A$5:$A47,"&gt;="&amp;(A47-6),$A$5:$A47,"&lt;="&amp;A47),"")</f>
        <v/>
      </c>
    </row>
    <row r="48">
      <c r="A48" s="32" t="n">
        <v>46292</v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K48" s="31">
        <f>IFERROR(AVERAGEIFS($C$5:$C48,$A$5:$A48,"&gt;="&amp;(A48-6),$A$5:$A48,"&lt;="&amp;A48),"")</f>
        <v/>
      </c>
      <c r="L48" s="31">
        <f>IFERROR(AVERAGEIFS($D$5:$D48,$A$5:$A48,"&gt;="&amp;(A48-6),$A$5:$A48,"&lt;="&amp;A48),"")</f>
        <v/>
      </c>
    </row>
    <row r="49">
      <c r="A49" s="32" t="n">
        <v>46293</v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K49" s="31">
        <f>IFERROR(AVERAGEIFS($C$5:$C49,$A$5:$A49,"&gt;="&amp;(A49-6),$A$5:$A49,"&lt;="&amp;A49),"")</f>
        <v/>
      </c>
      <c r="L49" s="31">
        <f>IFERROR(AVERAGEIFS($D$5:$D49,$A$5:$A49,"&gt;="&amp;(A49-6),$A$5:$A49,"&lt;="&amp;A49),"")</f>
        <v/>
      </c>
    </row>
    <row r="50">
      <c r="A50" s="32" t="n">
        <v>46294</v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K50" s="31">
        <f>IFERROR(AVERAGEIFS($C$5:$C50,$A$5:$A50,"&gt;="&amp;(A50-6),$A$5:$A50,"&lt;="&amp;A50),"")</f>
        <v/>
      </c>
      <c r="L50" s="31">
        <f>IFERROR(AVERAGEIFS($D$5:$D50,$A$5:$A50,"&gt;="&amp;(A50-6),$A$5:$A50,"&lt;="&amp;A50),"")</f>
        <v/>
      </c>
    </row>
    <row r="51">
      <c r="A51" s="32" t="n">
        <v>46295</v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K51" s="31">
        <f>IFERROR(AVERAGEIFS($C$5:$C51,$A$5:$A51,"&gt;="&amp;(A51-6),$A$5:$A51,"&lt;="&amp;A51),"")</f>
        <v/>
      </c>
      <c r="L51" s="31">
        <f>IFERROR(AVERAGEIFS($D$5:$D51,$A$5:$A51,"&gt;="&amp;(A51-6),$A$5:$A51,"&lt;="&amp;A51),"")</f>
        <v/>
      </c>
    </row>
    <row r="52">
      <c r="A52" s="32" t="n">
        <v>46296</v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K52" s="31">
        <f>IFERROR(AVERAGEIFS($C$5:$C52,$A$5:$A52,"&gt;="&amp;(A52-6),$A$5:$A52,"&lt;="&amp;A52),"")</f>
        <v/>
      </c>
      <c r="L52" s="31">
        <f>IFERROR(AVERAGEIFS($D$5:$D52,$A$5:$A52,"&gt;="&amp;(A52-6),$A$5:$A52,"&lt;="&amp;A52),"")</f>
        <v/>
      </c>
    </row>
    <row r="53">
      <c r="A53" s="32" t="n">
        <v>46297</v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K53" s="31">
        <f>IFERROR(AVERAGEIFS($C$5:$C53,$A$5:$A53,"&gt;="&amp;(A53-6),$A$5:$A53,"&lt;="&amp;A53),"")</f>
        <v/>
      </c>
      <c r="L53" s="31">
        <f>IFERROR(AVERAGEIFS($D$5:$D53,$A$5:$A53,"&gt;="&amp;(A53-6),$A$5:$A53,"&lt;="&amp;A53),"")</f>
        <v/>
      </c>
    </row>
    <row r="54">
      <c r="A54" s="32" t="n">
        <v>46298</v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K54" s="31">
        <f>IFERROR(AVERAGEIFS($C$5:$C54,$A$5:$A54,"&gt;="&amp;(A54-6),$A$5:$A54,"&lt;="&amp;A54),"")</f>
        <v/>
      </c>
      <c r="L54" s="31">
        <f>IFERROR(AVERAGEIFS($D$5:$D54,$A$5:$A54,"&gt;="&amp;(A54-6),$A$5:$A54,"&lt;="&amp;A54),"")</f>
        <v/>
      </c>
    </row>
    <row r="55">
      <c r="A55" s="32" t="n">
        <v>46299</v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K55" s="31">
        <f>IFERROR(AVERAGEIFS($C$5:$C55,$A$5:$A55,"&gt;="&amp;(A55-6),$A$5:$A55,"&lt;="&amp;A55),"")</f>
        <v/>
      </c>
      <c r="L55" s="31">
        <f>IFERROR(AVERAGEIFS($D$5:$D55,$A$5:$A55,"&gt;="&amp;(A55-6),$A$5:$A55,"&lt;="&amp;A55),"")</f>
        <v/>
      </c>
    </row>
    <row r="56">
      <c r="A56" s="32" t="n">
        <v>46300</v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K56" s="31">
        <f>IFERROR(AVERAGEIFS($C$5:$C56,$A$5:$A56,"&gt;="&amp;(A56-6),$A$5:$A56,"&lt;="&amp;A56),"")</f>
        <v/>
      </c>
      <c r="L56" s="31">
        <f>IFERROR(AVERAGEIFS($D$5:$D56,$A$5:$A56,"&gt;="&amp;(A56-6),$A$5:$A56,"&lt;="&amp;A56),"")</f>
        <v/>
      </c>
    </row>
    <row r="57">
      <c r="A57" s="32" t="n">
        <v>46301</v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K57" s="31">
        <f>IFERROR(AVERAGEIFS($C$5:$C57,$A$5:$A57,"&gt;="&amp;(A57-6),$A$5:$A57,"&lt;="&amp;A57),"")</f>
        <v/>
      </c>
      <c r="L57" s="31">
        <f>IFERROR(AVERAGEIFS($D$5:$D57,$A$5:$A57,"&gt;="&amp;(A57-6),$A$5:$A57,"&lt;="&amp;A57),"")</f>
        <v/>
      </c>
    </row>
    <row r="58">
      <c r="A58" s="32" t="n">
        <v>46302</v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K58" s="31">
        <f>IFERROR(AVERAGEIFS($C$5:$C58,$A$5:$A58,"&gt;="&amp;(A58-6),$A$5:$A58,"&lt;="&amp;A58),"")</f>
        <v/>
      </c>
      <c r="L58" s="31">
        <f>IFERROR(AVERAGEIFS($D$5:$D58,$A$5:$A58,"&gt;="&amp;(A58-6),$A$5:$A58,"&lt;="&amp;A58),"")</f>
        <v/>
      </c>
    </row>
    <row r="59">
      <c r="A59" s="32" t="n">
        <v>46303</v>
      </c>
      <c r="B59" s="18" t="n"/>
      <c r="C59" s="18" t="n"/>
      <c r="D59" s="18" t="n"/>
      <c r="E59" s="18" t="n"/>
      <c r="F59" s="18" t="n"/>
      <c r="G59" s="18" t="n"/>
      <c r="H59" s="18" t="n"/>
      <c r="I59" s="18" t="n"/>
      <c r="K59" s="31">
        <f>IFERROR(AVERAGEIFS($C$5:$C59,$A$5:$A59,"&gt;="&amp;(A59-6),$A$5:$A59,"&lt;="&amp;A59),"")</f>
        <v/>
      </c>
      <c r="L59" s="31">
        <f>IFERROR(AVERAGEIFS($D$5:$D59,$A$5:$A59,"&gt;="&amp;(A59-6),$A$5:$A59,"&lt;="&amp;A59),"")</f>
        <v/>
      </c>
    </row>
    <row r="60">
      <c r="A60" s="32" t="n">
        <v>46304</v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K60" s="31">
        <f>IFERROR(AVERAGEIFS($C$5:$C60,$A$5:$A60,"&gt;="&amp;(A60-6),$A$5:$A60,"&lt;="&amp;A60),"")</f>
        <v/>
      </c>
      <c r="L60" s="31">
        <f>IFERROR(AVERAGEIFS($D$5:$D60,$A$5:$A60,"&gt;="&amp;(A60-6),$A$5:$A60,"&lt;="&amp;A60),"")</f>
        <v/>
      </c>
    </row>
    <row r="61">
      <c r="A61" s="32" t="n">
        <v>46305</v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K61" s="31">
        <f>IFERROR(AVERAGEIFS($C$5:$C61,$A$5:$A61,"&gt;="&amp;(A61-6),$A$5:$A61,"&lt;="&amp;A61),"")</f>
        <v/>
      </c>
      <c r="L61" s="31">
        <f>IFERROR(AVERAGEIFS($D$5:$D61,$A$5:$A61,"&gt;="&amp;(A61-6),$A$5:$A61,"&lt;="&amp;A61),"")</f>
        <v/>
      </c>
    </row>
    <row r="62">
      <c r="A62" s="32" t="n">
        <v>46306</v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K62" s="31">
        <f>IFERROR(AVERAGEIFS($C$5:$C62,$A$5:$A62,"&gt;="&amp;(A62-6),$A$5:$A62,"&lt;="&amp;A62),"")</f>
        <v/>
      </c>
      <c r="L62" s="31">
        <f>IFERROR(AVERAGEIFS($D$5:$D62,$A$5:$A62,"&gt;="&amp;(A62-6),$A$5:$A62,"&lt;="&amp;A62),"")</f>
        <v/>
      </c>
    </row>
    <row r="63">
      <c r="A63" s="32" t="n">
        <v>46307</v>
      </c>
      <c r="B63" s="18" t="n"/>
      <c r="C63" s="18" t="n"/>
      <c r="D63" s="18" t="n"/>
      <c r="E63" s="18" t="n"/>
      <c r="F63" s="18" t="n"/>
      <c r="G63" s="18" t="n"/>
      <c r="H63" s="18" t="n"/>
      <c r="I63" s="18" t="n"/>
      <c r="K63" s="31">
        <f>IFERROR(AVERAGEIFS($C$5:$C63,$A$5:$A63,"&gt;="&amp;(A63-6),$A$5:$A63,"&lt;="&amp;A63),"")</f>
        <v/>
      </c>
      <c r="L63" s="31">
        <f>IFERROR(AVERAGEIFS($D$5:$D63,$A$5:$A63,"&gt;="&amp;(A63-6),$A$5:$A63,"&lt;="&amp;A63),"")</f>
        <v/>
      </c>
    </row>
    <row r="64">
      <c r="A64" s="32" t="n">
        <v>46308</v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K64" s="31">
        <f>IFERROR(AVERAGEIFS($C$5:$C64,$A$5:$A64,"&gt;="&amp;(A64-6),$A$5:$A64,"&lt;="&amp;A64),"")</f>
        <v/>
      </c>
      <c r="L64" s="31">
        <f>IFERROR(AVERAGEIFS($D$5:$D64,$A$5:$A64,"&gt;="&amp;(A64-6),$A$5:$A64,"&lt;="&amp;A64),"")</f>
        <v/>
      </c>
    </row>
    <row r="65">
      <c r="A65" s="32" t="n">
        <v>46309</v>
      </c>
      <c r="B65" s="18" t="n"/>
      <c r="C65" s="18" t="n"/>
      <c r="D65" s="18" t="n"/>
      <c r="E65" s="18" t="n"/>
      <c r="F65" s="18" t="n"/>
      <c r="G65" s="18" t="n"/>
      <c r="H65" s="18" t="n"/>
      <c r="I65" s="18" t="n"/>
      <c r="K65" s="31">
        <f>IFERROR(AVERAGEIFS($C$5:$C65,$A$5:$A65,"&gt;="&amp;(A65-6),$A$5:$A65,"&lt;="&amp;A65),"")</f>
        <v/>
      </c>
      <c r="L65" s="31">
        <f>IFERROR(AVERAGEIFS($D$5:$D65,$A$5:$A65,"&gt;="&amp;(A65-6),$A$5:$A65,"&lt;="&amp;A65),"")</f>
        <v/>
      </c>
    </row>
    <row r="66">
      <c r="A66" s="32" t="n">
        <v>46310</v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K66" s="31">
        <f>IFERROR(AVERAGEIFS($C$5:$C66,$A$5:$A66,"&gt;="&amp;(A66-6),$A$5:$A66,"&lt;="&amp;A66),"")</f>
        <v/>
      </c>
      <c r="L66" s="31">
        <f>IFERROR(AVERAGEIFS($D$5:$D66,$A$5:$A66,"&gt;="&amp;(A66-6),$A$5:$A66,"&lt;="&amp;A66),"")</f>
        <v/>
      </c>
    </row>
    <row r="67">
      <c r="A67" s="32" t="n">
        <v>46311</v>
      </c>
      <c r="B67" s="18" t="n"/>
      <c r="C67" s="18" t="n"/>
      <c r="D67" s="18" t="n"/>
      <c r="E67" s="18" t="n"/>
      <c r="F67" s="18" t="n"/>
      <c r="G67" s="18" t="n"/>
      <c r="H67" s="18" t="n"/>
      <c r="I67" s="18" t="n"/>
      <c r="K67" s="31">
        <f>IFERROR(AVERAGEIFS($C$5:$C67,$A$5:$A67,"&gt;="&amp;(A67-6),$A$5:$A67,"&lt;="&amp;A67),"")</f>
        <v/>
      </c>
      <c r="L67" s="31">
        <f>IFERROR(AVERAGEIFS($D$5:$D67,$A$5:$A67,"&gt;="&amp;(A67-6),$A$5:$A67,"&lt;="&amp;A67),"")</f>
        <v/>
      </c>
    </row>
    <row r="68">
      <c r="A68" s="32" t="n">
        <v>46312</v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K68" s="31">
        <f>IFERROR(AVERAGEIFS($C$5:$C68,$A$5:$A68,"&gt;="&amp;(A68-6),$A$5:$A68,"&lt;="&amp;A68),"")</f>
        <v/>
      </c>
      <c r="L68" s="31">
        <f>IFERROR(AVERAGEIFS($D$5:$D68,$A$5:$A68,"&gt;="&amp;(A68-6),$A$5:$A68,"&lt;="&amp;A68),"")</f>
        <v/>
      </c>
    </row>
    <row r="69">
      <c r="A69" s="32" t="n">
        <v>46313</v>
      </c>
      <c r="B69" s="18" t="n"/>
      <c r="C69" s="18" t="n"/>
      <c r="D69" s="18" t="n"/>
      <c r="E69" s="18" t="n"/>
      <c r="F69" s="18" t="n"/>
      <c r="G69" s="18" t="n"/>
      <c r="H69" s="18" t="n"/>
      <c r="I69" s="18" t="n"/>
      <c r="K69" s="31">
        <f>IFERROR(AVERAGEIFS($C$5:$C69,$A$5:$A69,"&gt;="&amp;(A69-6),$A$5:$A69,"&lt;="&amp;A69),"")</f>
        <v/>
      </c>
      <c r="L69" s="31">
        <f>IFERROR(AVERAGEIFS($D$5:$D69,$A$5:$A69,"&gt;="&amp;(A69-6),$A$5:$A69,"&lt;="&amp;A69),"")</f>
        <v/>
      </c>
    </row>
    <row r="70">
      <c r="A70" s="32" t="n">
        <v>46314</v>
      </c>
      <c r="B70" s="18" t="n"/>
      <c r="C70" s="18" t="n"/>
      <c r="D70" s="18" t="n"/>
      <c r="E70" s="18" t="n"/>
      <c r="F70" s="18" t="n"/>
      <c r="G70" s="18" t="n"/>
      <c r="H70" s="18" t="n"/>
      <c r="I70" s="18" t="n"/>
      <c r="K70" s="31">
        <f>IFERROR(AVERAGEIFS($C$5:$C70,$A$5:$A70,"&gt;="&amp;(A70-6),$A$5:$A70,"&lt;="&amp;A70),"")</f>
        <v/>
      </c>
      <c r="L70" s="31">
        <f>IFERROR(AVERAGEIFS($D$5:$D70,$A$5:$A70,"&gt;="&amp;(A70-6),$A$5:$A70,"&lt;="&amp;A70),"")</f>
        <v/>
      </c>
    </row>
    <row r="71">
      <c r="A71" s="32" t="n">
        <v>46315</v>
      </c>
      <c r="B71" s="18" t="n"/>
      <c r="C71" s="18" t="n"/>
      <c r="D71" s="18" t="n"/>
      <c r="E71" s="18" t="n"/>
      <c r="F71" s="18" t="n"/>
      <c r="G71" s="18" t="n"/>
      <c r="H71" s="18" t="n"/>
      <c r="I71" s="18" t="n"/>
      <c r="K71" s="31">
        <f>IFERROR(AVERAGEIFS($C$5:$C71,$A$5:$A71,"&gt;="&amp;(A71-6),$A$5:$A71,"&lt;="&amp;A71),"")</f>
        <v/>
      </c>
      <c r="L71" s="31">
        <f>IFERROR(AVERAGEIFS($D$5:$D71,$A$5:$A71,"&gt;="&amp;(A71-6),$A$5:$A71,"&lt;="&amp;A71),"")</f>
        <v/>
      </c>
    </row>
    <row r="72">
      <c r="A72" s="32" t="n">
        <v>46316</v>
      </c>
      <c r="B72" s="18" t="n"/>
      <c r="C72" s="18" t="n"/>
      <c r="D72" s="18" t="n"/>
      <c r="E72" s="18" t="n"/>
      <c r="F72" s="18" t="n"/>
      <c r="G72" s="18" t="n"/>
      <c r="H72" s="18" t="n"/>
      <c r="I72" s="18" t="n"/>
      <c r="K72" s="31">
        <f>IFERROR(AVERAGEIFS($C$5:$C72,$A$5:$A72,"&gt;="&amp;(A72-6),$A$5:$A72,"&lt;="&amp;A72),"")</f>
        <v/>
      </c>
      <c r="L72" s="31">
        <f>IFERROR(AVERAGEIFS($D$5:$D72,$A$5:$A72,"&gt;="&amp;(A72-6),$A$5:$A72,"&lt;="&amp;A72),"")</f>
        <v/>
      </c>
    </row>
    <row r="73">
      <c r="A73" s="32" t="n">
        <v>46317</v>
      </c>
      <c r="B73" s="18" t="n"/>
      <c r="C73" s="18" t="n"/>
      <c r="D73" s="18" t="n"/>
      <c r="E73" s="18" t="n"/>
      <c r="F73" s="18" t="n"/>
      <c r="G73" s="18" t="n"/>
      <c r="H73" s="18" t="n"/>
      <c r="I73" s="18" t="n"/>
      <c r="K73" s="31">
        <f>IFERROR(AVERAGEIFS($C$5:$C73,$A$5:$A73,"&gt;="&amp;(A73-6),$A$5:$A73,"&lt;="&amp;A73),"")</f>
        <v/>
      </c>
      <c r="L73" s="31">
        <f>IFERROR(AVERAGEIFS($D$5:$D73,$A$5:$A73,"&gt;="&amp;(A73-6),$A$5:$A73,"&lt;="&amp;A73),"")</f>
        <v/>
      </c>
    </row>
    <row r="74">
      <c r="A74" s="32" t="n">
        <v>46318</v>
      </c>
      <c r="B74" s="18" t="n"/>
      <c r="C74" s="18" t="n"/>
      <c r="D74" s="18" t="n"/>
      <c r="E74" s="18" t="n"/>
      <c r="F74" s="18" t="n"/>
      <c r="G74" s="18" t="n"/>
      <c r="H74" s="18" t="n"/>
      <c r="I74" s="18" t="n"/>
      <c r="K74" s="31">
        <f>IFERROR(AVERAGEIFS($C$5:$C74,$A$5:$A74,"&gt;="&amp;(A74-6),$A$5:$A74,"&lt;="&amp;A74),"")</f>
        <v/>
      </c>
      <c r="L74" s="31">
        <f>IFERROR(AVERAGEIFS($D$5:$D74,$A$5:$A74,"&gt;="&amp;(A74-6),$A$5:$A74,"&lt;="&amp;A74),"")</f>
        <v/>
      </c>
    </row>
    <row r="75">
      <c r="A75" s="32" t="n">
        <v>46319</v>
      </c>
      <c r="B75" s="18" t="n"/>
      <c r="C75" s="18" t="n"/>
      <c r="D75" s="18" t="n"/>
      <c r="E75" s="18" t="n"/>
      <c r="F75" s="18" t="n"/>
      <c r="G75" s="18" t="n"/>
      <c r="H75" s="18" t="n"/>
      <c r="I75" s="18" t="n"/>
      <c r="K75" s="31">
        <f>IFERROR(AVERAGEIFS($C$5:$C75,$A$5:$A75,"&gt;="&amp;(A75-6),$A$5:$A75,"&lt;="&amp;A75),"")</f>
        <v/>
      </c>
      <c r="L75" s="31">
        <f>IFERROR(AVERAGEIFS($D$5:$D75,$A$5:$A75,"&gt;="&amp;(A75-6),$A$5:$A75,"&lt;="&amp;A75),"")</f>
        <v/>
      </c>
    </row>
    <row r="76">
      <c r="A76" s="32" t="n">
        <v>46320</v>
      </c>
      <c r="B76" s="18" t="n"/>
      <c r="C76" s="18" t="n"/>
      <c r="D76" s="18" t="n"/>
      <c r="E76" s="18" t="n"/>
      <c r="F76" s="18" t="n"/>
      <c r="G76" s="18" t="n"/>
      <c r="H76" s="18" t="n"/>
      <c r="I76" s="18" t="n"/>
      <c r="K76" s="31">
        <f>IFERROR(AVERAGEIFS($C$5:$C76,$A$5:$A76,"&gt;="&amp;(A76-6),$A$5:$A76,"&lt;="&amp;A76),"")</f>
        <v/>
      </c>
      <c r="L76" s="31">
        <f>IFERROR(AVERAGEIFS($D$5:$D76,$A$5:$A76,"&gt;="&amp;(A76-6),$A$5:$A76,"&lt;="&amp;A76),"")</f>
        <v/>
      </c>
    </row>
    <row r="77">
      <c r="A77" s="32" t="n">
        <v>46321</v>
      </c>
      <c r="B77" s="18" t="n"/>
      <c r="C77" s="18" t="n"/>
      <c r="D77" s="18" t="n"/>
      <c r="E77" s="18" t="n"/>
      <c r="F77" s="18" t="n"/>
      <c r="G77" s="18" t="n"/>
      <c r="H77" s="18" t="n"/>
      <c r="I77" s="18" t="n"/>
      <c r="K77" s="31">
        <f>IFERROR(AVERAGEIFS($C$5:$C77,$A$5:$A77,"&gt;="&amp;(A77-6),$A$5:$A77,"&lt;="&amp;A77),"")</f>
        <v/>
      </c>
      <c r="L77" s="31">
        <f>IFERROR(AVERAGEIFS($D$5:$D77,$A$5:$A77,"&gt;="&amp;(A77-6),$A$5:$A77,"&lt;="&amp;A77),"")</f>
        <v/>
      </c>
    </row>
    <row r="78">
      <c r="A78" s="32" t="n">
        <v>46322</v>
      </c>
      <c r="B78" s="18" t="n"/>
      <c r="C78" s="18" t="n"/>
      <c r="D78" s="18" t="n"/>
      <c r="E78" s="18" t="n"/>
      <c r="F78" s="18" t="n"/>
      <c r="G78" s="18" t="n"/>
      <c r="H78" s="18" t="n"/>
      <c r="I78" s="18" t="n"/>
      <c r="K78" s="31">
        <f>IFERROR(AVERAGEIFS($C$5:$C78,$A$5:$A78,"&gt;="&amp;(A78-6),$A$5:$A78,"&lt;="&amp;A78),"")</f>
        <v/>
      </c>
      <c r="L78" s="31">
        <f>IFERROR(AVERAGEIFS($D$5:$D78,$A$5:$A78,"&gt;="&amp;(A78-6),$A$5:$A78,"&lt;="&amp;A78),"")</f>
        <v/>
      </c>
    </row>
    <row r="79">
      <c r="A79" s="32" t="n">
        <v>46323</v>
      </c>
      <c r="B79" s="18" t="n"/>
      <c r="C79" s="18" t="n"/>
      <c r="D79" s="18" t="n"/>
      <c r="E79" s="18" t="n"/>
      <c r="F79" s="18" t="n"/>
      <c r="G79" s="18" t="n"/>
      <c r="H79" s="18" t="n"/>
      <c r="I79" s="18" t="n"/>
      <c r="K79" s="31">
        <f>IFERROR(AVERAGEIFS($C$5:$C79,$A$5:$A79,"&gt;="&amp;(A79-6),$A$5:$A79,"&lt;="&amp;A79),"")</f>
        <v/>
      </c>
      <c r="L79" s="31">
        <f>IFERROR(AVERAGEIFS($D$5:$D79,$A$5:$A79,"&gt;="&amp;(A79-6),$A$5:$A79,"&lt;="&amp;A79),"")</f>
        <v/>
      </c>
    </row>
    <row r="80">
      <c r="A80" s="32" t="n">
        <v>46324</v>
      </c>
      <c r="B80" s="18" t="n"/>
      <c r="C80" s="18" t="n"/>
      <c r="D80" s="18" t="n"/>
      <c r="E80" s="18" t="n"/>
      <c r="F80" s="18" t="n"/>
      <c r="G80" s="18" t="n"/>
      <c r="H80" s="18" t="n"/>
      <c r="I80" s="18" t="n"/>
      <c r="K80" s="31">
        <f>IFERROR(AVERAGEIFS($C$5:$C80,$A$5:$A80,"&gt;="&amp;(A80-6),$A$5:$A80,"&lt;="&amp;A80),"")</f>
        <v/>
      </c>
      <c r="L80" s="31">
        <f>IFERROR(AVERAGEIFS($D$5:$D80,$A$5:$A80,"&gt;="&amp;(A80-6),$A$5:$A80,"&lt;="&amp;A80),"")</f>
        <v/>
      </c>
    </row>
    <row r="81">
      <c r="A81" s="32" t="n">
        <v>46325</v>
      </c>
      <c r="B81" s="18" t="n"/>
      <c r="C81" s="18" t="n"/>
      <c r="D81" s="18" t="n"/>
      <c r="E81" s="18" t="n"/>
      <c r="F81" s="18" t="n"/>
      <c r="G81" s="18" t="n"/>
      <c r="H81" s="18" t="n"/>
      <c r="I81" s="18" t="n"/>
      <c r="K81" s="31">
        <f>IFERROR(AVERAGEIFS($C$5:$C81,$A$5:$A81,"&gt;="&amp;(A81-6),$A$5:$A81,"&lt;="&amp;A81),"")</f>
        <v/>
      </c>
      <c r="L81" s="31">
        <f>IFERROR(AVERAGEIFS($D$5:$D81,$A$5:$A81,"&gt;="&amp;(A81-6),$A$5:$A81,"&lt;="&amp;A81),"")</f>
        <v/>
      </c>
    </row>
    <row r="82">
      <c r="A82" s="32" t="n">
        <v>46326</v>
      </c>
      <c r="B82" s="18" t="n"/>
      <c r="C82" s="18" t="n"/>
      <c r="D82" s="18" t="n"/>
      <c r="E82" s="18" t="n"/>
      <c r="F82" s="18" t="n"/>
      <c r="G82" s="18" t="n"/>
      <c r="H82" s="18" t="n"/>
      <c r="I82" s="18" t="n"/>
      <c r="K82" s="31">
        <f>IFERROR(AVERAGEIFS($C$5:$C82,$A$5:$A82,"&gt;="&amp;(A82-6),$A$5:$A82,"&lt;="&amp;A82),"")</f>
        <v/>
      </c>
      <c r="L82" s="31">
        <f>IFERROR(AVERAGEIFS($D$5:$D82,$A$5:$A82,"&gt;="&amp;(A82-6),$A$5:$A82,"&lt;="&amp;A82),"")</f>
        <v/>
      </c>
    </row>
    <row r="83">
      <c r="A83" s="32" t="n">
        <v>46327</v>
      </c>
      <c r="B83" s="18" t="n"/>
      <c r="C83" s="18" t="n"/>
      <c r="D83" s="18" t="n"/>
      <c r="E83" s="18" t="n"/>
      <c r="F83" s="18" t="n"/>
      <c r="G83" s="18" t="n"/>
      <c r="H83" s="18" t="n"/>
      <c r="I83" s="18" t="n"/>
      <c r="K83" s="31">
        <f>IFERROR(AVERAGEIFS($C$5:$C83,$A$5:$A83,"&gt;="&amp;(A83-6),$A$5:$A83,"&lt;="&amp;A83),"")</f>
        <v/>
      </c>
      <c r="L83" s="31">
        <f>IFERROR(AVERAGEIFS($D$5:$D83,$A$5:$A83,"&gt;="&amp;(A83-6),$A$5:$A83,"&lt;="&amp;A83),"")</f>
        <v/>
      </c>
    </row>
    <row r="84">
      <c r="A84" s="32" t="n">
        <v>46328</v>
      </c>
      <c r="B84" s="18" t="n"/>
      <c r="C84" s="18" t="n"/>
      <c r="D84" s="18" t="n"/>
      <c r="E84" s="18" t="n"/>
      <c r="F84" s="18" t="n"/>
      <c r="G84" s="18" t="n"/>
      <c r="H84" s="18" t="n"/>
      <c r="I84" s="18" t="n"/>
      <c r="K84" s="31">
        <f>IFERROR(AVERAGEIFS($C$5:$C84,$A$5:$A84,"&gt;="&amp;(A84-6),$A$5:$A84,"&lt;="&amp;A84),"")</f>
        <v/>
      </c>
      <c r="L84" s="31">
        <f>IFERROR(AVERAGEIFS($D$5:$D84,$A$5:$A84,"&gt;="&amp;(A84-6),$A$5:$A84,"&lt;="&amp;A84),"")</f>
        <v/>
      </c>
    </row>
    <row r="85">
      <c r="A85" s="32" t="n">
        <v>46329</v>
      </c>
      <c r="B85" s="18" t="n"/>
      <c r="C85" s="18" t="n"/>
      <c r="D85" s="18" t="n"/>
      <c r="E85" s="18" t="n"/>
      <c r="F85" s="18" t="n"/>
      <c r="G85" s="18" t="n"/>
      <c r="H85" s="18" t="n"/>
      <c r="I85" s="18" t="n"/>
      <c r="K85" s="31">
        <f>IFERROR(AVERAGEIFS($C$5:$C85,$A$5:$A85,"&gt;="&amp;(A85-6),$A$5:$A85,"&lt;="&amp;A85),"")</f>
        <v/>
      </c>
      <c r="L85" s="31">
        <f>IFERROR(AVERAGEIFS($D$5:$D85,$A$5:$A85,"&gt;="&amp;(A85-6),$A$5:$A85,"&lt;="&amp;A85),"")</f>
        <v/>
      </c>
    </row>
    <row r="86">
      <c r="A86" s="32" t="n">
        <v>46330</v>
      </c>
      <c r="B86" s="18" t="n"/>
      <c r="C86" s="18" t="n"/>
      <c r="D86" s="18" t="n"/>
      <c r="E86" s="18" t="n"/>
      <c r="F86" s="18" t="n"/>
      <c r="G86" s="18" t="n"/>
      <c r="H86" s="18" t="n"/>
      <c r="I86" s="18" t="n"/>
      <c r="K86" s="31">
        <f>IFERROR(AVERAGEIFS($C$5:$C86,$A$5:$A86,"&gt;="&amp;(A86-6),$A$5:$A86,"&lt;="&amp;A86),"")</f>
        <v/>
      </c>
      <c r="L86" s="31">
        <f>IFERROR(AVERAGEIFS($D$5:$D86,$A$5:$A86,"&gt;="&amp;(A86-6),$A$5:$A86,"&lt;="&amp;A86),"")</f>
        <v/>
      </c>
    </row>
    <row r="87">
      <c r="A87" s="32" t="n">
        <v>46331</v>
      </c>
      <c r="B87" s="18" t="n"/>
      <c r="C87" s="18" t="n"/>
      <c r="D87" s="18" t="n"/>
      <c r="E87" s="18" t="n"/>
      <c r="F87" s="18" t="n"/>
      <c r="G87" s="18" t="n"/>
      <c r="H87" s="18" t="n"/>
      <c r="I87" s="18" t="n"/>
      <c r="K87" s="31">
        <f>IFERROR(AVERAGEIFS($C$5:$C87,$A$5:$A87,"&gt;="&amp;(A87-6),$A$5:$A87,"&lt;="&amp;A87),"")</f>
        <v/>
      </c>
      <c r="L87" s="31">
        <f>IFERROR(AVERAGEIFS($D$5:$D87,$A$5:$A87,"&gt;="&amp;(A87-6),$A$5:$A87,"&lt;="&amp;A87),"")</f>
        <v/>
      </c>
    </row>
    <row r="88">
      <c r="A88" s="32" t="n">
        <v>46332</v>
      </c>
      <c r="B88" s="18" t="n"/>
      <c r="C88" s="18" t="n"/>
      <c r="D88" s="18" t="n"/>
      <c r="E88" s="18" t="n"/>
      <c r="F88" s="18" t="n"/>
      <c r="G88" s="18" t="n"/>
      <c r="H88" s="18" t="n"/>
      <c r="I88" s="18" t="n"/>
      <c r="K88" s="31">
        <f>IFERROR(AVERAGEIFS($C$5:$C88,$A$5:$A88,"&gt;="&amp;(A88-6),$A$5:$A88,"&lt;="&amp;A88),"")</f>
        <v/>
      </c>
      <c r="L88" s="31">
        <f>IFERROR(AVERAGEIFS($D$5:$D88,$A$5:$A88,"&gt;="&amp;(A88-6),$A$5:$A88,"&lt;="&amp;A88),"")</f>
        <v/>
      </c>
    </row>
    <row r="89">
      <c r="A89" s="32" t="n">
        <v>46333</v>
      </c>
      <c r="B89" s="18" t="n"/>
      <c r="C89" s="18" t="n"/>
      <c r="D89" s="18" t="n"/>
      <c r="E89" s="18" t="n"/>
      <c r="F89" s="18" t="n"/>
      <c r="G89" s="18" t="n"/>
      <c r="H89" s="18" t="n"/>
      <c r="I89" s="18" t="n"/>
      <c r="K89" s="31">
        <f>IFERROR(AVERAGEIFS($C$5:$C89,$A$5:$A89,"&gt;="&amp;(A89-6),$A$5:$A89,"&lt;="&amp;A89),"")</f>
        <v/>
      </c>
      <c r="L89" s="31">
        <f>IFERROR(AVERAGEIFS($D$5:$D89,$A$5:$A89,"&gt;="&amp;(A89-6),$A$5:$A89,"&lt;="&amp;A89),"")</f>
        <v/>
      </c>
    </row>
    <row r="90">
      <c r="A90" s="32" t="n">
        <v>46334</v>
      </c>
      <c r="B90" s="18" t="n"/>
      <c r="C90" s="18" t="n"/>
      <c r="D90" s="18" t="n"/>
      <c r="E90" s="18" t="n"/>
      <c r="F90" s="18" t="n"/>
      <c r="G90" s="18" t="n"/>
      <c r="H90" s="18" t="n"/>
      <c r="I90" s="18" t="n"/>
      <c r="K90" s="31">
        <f>IFERROR(AVERAGEIFS($C$5:$C90,$A$5:$A90,"&gt;="&amp;(A90-6),$A$5:$A90,"&lt;="&amp;A90),"")</f>
        <v/>
      </c>
      <c r="L90" s="31">
        <f>IFERROR(AVERAGEIFS($D$5:$D90,$A$5:$A90,"&gt;="&amp;(A90-6),$A$5:$A90,"&lt;="&amp;A90),"")</f>
        <v/>
      </c>
    </row>
    <row r="91">
      <c r="A91" s="32" t="n">
        <v>46335</v>
      </c>
      <c r="B91" s="18" t="n"/>
      <c r="C91" s="18" t="n"/>
      <c r="D91" s="18" t="n"/>
      <c r="E91" s="18" t="n"/>
      <c r="F91" s="18" t="n"/>
      <c r="G91" s="18" t="n"/>
      <c r="H91" s="18" t="n"/>
      <c r="I91" s="18" t="n"/>
      <c r="K91" s="31">
        <f>IFERROR(AVERAGEIFS($C$5:$C91,$A$5:$A91,"&gt;="&amp;(A91-6),$A$5:$A91,"&lt;="&amp;A91),"")</f>
        <v/>
      </c>
      <c r="L91" s="31">
        <f>IFERROR(AVERAGEIFS($D$5:$D91,$A$5:$A91,"&gt;="&amp;(A91-6),$A$5:$A91,"&lt;="&amp;A91),"")</f>
        <v/>
      </c>
    </row>
    <row r="92">
      <c r="A92" s="32" t="n">
        <v>46336</v>
      </c>
      <c r="B92" s="18" t="n"/>
      <c r="C92" s="18" t="n"/>
      <c r="D92" s="18" t="n"/>
      <c r="E92" s="18" t="n"/>
      <c r="F92" s="18" t="n"/>
      <c r="G92" s="18" t="n"/>
      <c r="H92" s="18" t="n"/>
      <c r="I92" s="18" t="n"/>
      <c r="K92" s="31">
        <f>IFERROR(AVERAGEIFS($C$5:$C92,$A$5:$A92,"&gt;="&amp;(A92-6),$A$5:$A92,"&lt;="&amp;A92),"")</f>
        <v/>
      </c>
      <c r="L92" s="31">
        <f>IFERROR(AVERAGEIFS($D$5:$D92,$A$5:$A92,"&gt;="&amp;(A92-6),$A$5:$A92,"&lt;="&amp;A92),"")</f>
        <v/>
      </c>
    </row>
    <row r="93">
      <c r="A93" s="32" t="n">
        <v>46337</v>
      </c>
      <c r="B93" s="18" t="n"/>
      <c r="C93" s="18" t="n"/>
      <c r="D93" s="18" t="n"/>
      <c r="E93" s="18" t="n"/>
      <c r="F93" s="18" t="n"/>
      <c r="G93" s="18" t="n"/>
      <c r="H93" s="18" t="n"/>
      <c r="I93" s="18" t="n"/>
      <c r="K93" s="31">
        <f>IFERROR(AVERAGEIFS($C$5:$C93,$A$5:$A93,"&gt;="&amp;(A93-6),$A$5:$A93,"&lt;="&amp;A93),"")</f>
        <v/>
      </c>
      <c r="L93" s="31">
        <f>IFERROR(AVERAGEIFS($D$5:$D93,$A$5:$A93,"&gt;="&amp;(A93-6),$A$5:$A93,"&lt;="&amp;A93),"")</f>
        <v/>
      </c>
    </row>
    <row r="94">
      <c r="A94" s="32" t="n">
        <v>46338</v>
      </c>
      <c r="B94" s="18" t="n"/>
      <c r="C94" s="18" t="n"/>
      <c r="D94" s="18" t="n"/>
      <c r="E94" s="18" t="n"/>
      <c r="F94" s="18" t="n"/>
      <c r="G94" s="18" t="n"/>
      <c r="H94" s="18" t="n"/>
      <c r="I94" s="18" t="n"/>
      <c r="K94" s="31">
        <f>IFERROR(AVERAGEIFS($C$5:$C94,$A$5:$A94,"&gt;="&amp;(A94-6),$A$5:$A94,"&lt;="&amp;A94),"")</f>
        <v/>
      </c>
      <c r="L94" s="31">
        <f>IFERROR(AVERAGEIFS($D$5:$D94,$A$5:$A94,"&gt;="&amp;(A94-6),$A$5:$A94,"&lt;="&amp;A94),"")</f>
        <v/>
      </c>
    </row>
    <row r="95">
      <c r="A95" s="32" t="n">
        <v>46339</v>
      </c>
      <c r="B95" s="18" t="n"/>
      <c r="C95" s="18" t="n"/>
      <c r="D95" s="18" t="n"/>
      <c r="E95" s="18" t="n"/>
      <c r="F95" s="18" t="n"/>
      <c r="G95" s="18" t="n"/>
      <c r="H95" s="18" t="n"/>
      <c r="I95" s="18" t="n"/>
      <c r="K95" s="31">
        <f>IFERROR(AVERAGEIFS($C$5:$C95,$A$5:$A95,"&gt;="&amp;(A95-6),$A$5:$A95,"&lt;="&amp;A95),"")</f>
        <v/>
      </c>
      <c r="L95" s="31">
        <f>IFERROR(AVERAGEIFS($D$5:$D95,$A$5:$A95,"&gt;="&amp;(A95-6),$A$5:$A95,"&lt;="&amp;A95),"")</f>
        <v/>
      </c>
    </row>
    <row r="96">
      <c r="A96" s="32" t="n">
        <v>46340</v>
      </c>
      <c r="B96" s="18" t="n"/>
      <c r="C96" s="18" t="n"/>
      <c r="D96" s="18" t="n"/>
      <c r="E96" s="18" t="n"/>
      <c r="F96" s="18" t="n"/>
      <c r="G96" s="18" t="n"/>
      <c r="H96" s="18" t="n"/>
      <c r="I96" s="18" t="n"/>
      <c r="K96" s="31">
        <f>IFERROR(AVERAGEIFS($C$5:$C96,$A$5:$A96,"&gt;="&amp;(A96-6),$A$5:$A96,"&lt;="&amp;A96),"")</f>
        <v/>
      </c>
      <c r="L96" s="31">
        <f>IFERROR(AVERAGEIFS($D$5:$D96,$A$5:$A96,"&gt;="&amp;(A96-6),$A$5:$A96,"&lt;="&amp;A96),"")</f>
        <v/>
      </c>
    </row>
    <row r="97">
      <c r="A97" s="32" t="n">
        <v>46341</v>
      </c>
      <c r="B97" s="18" t="n"/>
      <c r="C97" s="18" t="n"/>
      <c r="D97" s="18" t="n"/>
      <c r="E97" s="18" t="n"/>
      <c r="F97" s="18" t="n"/>
      <c r="G97" s="18" t="n"/>
      <c r="H97" s="18" t="n"/>
      <c r="I97" s="18" t="n"/>
      <c r="K97" s="31">
        <f>IFERROR(AVERAGEIFS($C$5:$C97,$A$5:$A97,"&gt;="&amp;(A97-6),$A$5:$A97,"&lt;="&amp;A97),"")</f>
        <v/>
      </c>
      <c r="L97" s="31">
        <f>IFERROR(AVERAGEIFS($D$5:$D97,$A$5:$A97,"&gt;="&amp;(A97-6),$A$5:$A97,"&lt;="&amp;A97),"")</f>
        <v/>
      </c>
    </row>
    <row r="98">
      <c r="A98" s="32" t="n">
        <v>46342</v>
      </c>
      <c r="B98" s="18" t="n"/>
      <c r="C98" s="18" t="n"/>
      <c r="D98" s="18" t="n"/>
      <c r="E98" s="18" t="n"/>
      <c r="F98" s="18" t="n"/>
      <c r="G98" s="18" t="n"/>
      <c r="H98" s="18" t="n"/>
      <c r="I98" s="18" t="n"/>
      <c r="K98" s="31">
        <f>IFERROR(AVERAGEIFS($C$5:$C98,$A$5:$A98,"&gt;="&amp;(A98-6),$A$5:$A98,"&lt;="&amp;A98),"")</f>
        <v/>
      </c>
      <c r="L98" s="31">
        <f>IFERROR(AVERAGEIFS($D$5:$D98,$A$5:$A98,"&gt;="&amp;(A98-6),$A$5:$A98,"&lt;="&amp;A98),"")</f>
        <v/>
      </c>
    </row>
    <row r="99">
      <c r="A99" s="32" t="n">
        <v>46343</v>
      </c>
      <c r="B99" s="18" t="n"/>
      <c r="C99" s="18" t="n"/>
      <c r="D99" s="18" t="n"/>
      <c r="E99" s="18" t="n"/>
      <c r="F99" s="18" t="n"/>
      <c r="G99" s="18" t="n"/>
      <c r="H99" s="18" t="n"/>
      <c r="I99" s="18" t="n"/>
      <c r="K99" s="31">
        <f>IFERROR(AVERAGEIFS($C$5:$C99,$A$5:$A99,"&gt;="&amp;(A99-6),$A$5:$A99,"&lt;="&amp;A99),"")</f>
        <v/>
      </c>
      <c r="L99" s="31">
        <f>IFERROR(AVERAGEIFS($D$5:$D99,$A$5:$A99,"&gt;="&amp;(A99-6),$A$5:$A99,"&lt;="&amp;A99),"")</f>
        <v/>
      </c>
    </row>
    <row r="100">
      <c r="A100" s="32" t="n">
        <v>46344</v>
      </c>
      <c r="B100" s="18" t="n"/>
      <c r="C100" s="18" t="n"/>
      <c r="D100" s="18" t="n"/>
      <c r="E100" s="18" t="n"/>
      <c r="F100" s="18" t="n"/>
      <c r="G100" s="18" t="n"/>
      <c r="H100" s="18" t="n"/>
      <c r="I100" s="18" t="n"/>
      <c r="K100" s="31">
        <f>IFERROR(AVERAGEIFS($C$5:$C100,$A$5:$A100,"&gt;="&amp;(A100-6),$A$5:$A100,"&lt;="&amp;A100),"")</f>
        <v/>
      </c>
      <c r="L100" s="31">
        <f>IFERROR(AVERAGEIFS($D$5:$D100,$A$5:$A100,"&gt;="&amp;(A100-6),$A$5:$A100,"&lt;="&amp;A100),"")</f>
        <v/>
      </c>
    </row>
    <row r="101">
      <c r="A101" s="32" t="n">
        <v>46345</v>
      </c>
      <c r="B101" s="18" t="n"/>
      <c r="C101" s="18" t="n"/>
      <c r="D101" s="18" t="n"/>
      <c r="E101" s="18" t="n"/>
      <c r="F101" s="18" t="n"/>
      <c r="G101" s="18" t="n"/>
      <c r="H101" s="18" t="n"/>
      <c r="I101" s="18" t="n"/>
      <c r="K101" s="31">
        <f>IFERROR(AVERAGEIFS($C$5:$C101,$A$5:$A101,"&gt;="&amp;(A101-6),$A$5:$A101,"&lt;="&amp;A101),"")</f>
        <v/>
      </c>
      <c r="L101" s="31">
        <f>IFERROR(AVERAGEIFS($D$5:$D101,$A$5:$A101,"&gt;="&amp;(A101-6),$A$5:$A101,"&lt;="&amp;A101),"")</f>
        <v/>
      </c>
    </row>
    <row r="102">
      <c r="A102" s="32" t="n">
        <v>46346</v>
      </c>
      <c r="B102" s="18" t="n"/>
      <c r="C102" s="18" t="n"/>
      <c r="D102" s="18" t="n"/>
      <c r="E102" s="18" t="n"/>
      <c r="F102" s="18" t="n"/>
      <c r="G102" s="18" t="n"/>
      <c r="H102" s="18" t="n"/>
      <c r="I102" s="18" t="n"/>
      <c r="K102" s="31">
        <f>IFERROR(AVERAGEIFS($C$5:$C102,$A$5:$A102,"&gt;="&amp;(A102-6),$A$5:$A102,"&lt;="&amp;A102),"")</f>
        <v/>
      </c>
      <c r="L102" s="31">
        <f>IFERROR(AVERAGEIFS($D$5:$D102,$A$5:$A102,"&gt;="&amp;(A102-6),$A$5:$A102,"&lt;="&amp;A102),"")</f>
        <v/>
      </c>
    </row>
    <row r="103">
      <c r="A103" s="32" t="n">
        <v>46347</v>
      </c>
      <c r="B103" s="18" t="n"/>
      <c r="C103" s="18" t="n"/>
      <c r="D103" s="18" t="n"/>
      <c r="E103" s="18" t="n"/>
      <c r="F103" s="18" t="n"/>
      <c r="G103" s="18" t="n"/>
      <c r="H103" s="18" t="n"/>
      <c r="I103" s="18" t="n"/>
      <c r="K103" s="31">
        <f>IFERROR(AVERAGEIFS($C$5:$C103,$A$5:$A103,"&gt;="&amp;(A103-6),$A$5:$A103,"&lt;="&amp;A103),"")</f>
        <v/>
      </c>
      <c r="L103" s="31">
        <f>IFERROR(AVERAGEIFS($D$5:$D103,$A$5:$A103,"&gt;="&amp;(A103-6),$A$5:$A103,"&lt;="&amp;A103),"")</f>
        <v/>
      </c>
    </row>
    <row r="104">
      <c r="A104" s="32" t="n">
        <v>46348</v>
      </c>
      <c r="B104" s="18" t="n"/>
      <c r="C104" s="18" t="n"/>
      <c r="D104" s="18" t="n"/>
      <c r="E104" s="18" t="n"/>
      <c r="F104" s="18" t="n"/>
      <c r="G104" s="18" t="n"/>
      <c r="H104" s="18" t="n"/>
      <c r="I104" s="18" t="n"/>
      <c r="K104" s="31">
        <f>IFERROR(AVERAGEIFS($C$5:$C104,$A$5:$A104,"&gt;="&amp;(A104-6),$A$5:$A104,"&lt;="&amp;A104),"")</f>
        <v/>
      </c>
      <c r="L104" s="31">
        <f>IFERROR(AVERAGEIFS($D$5:$D104,$A$5:$A104,"&gt;="&amp;(A104-6),$A$5:$A104,"&lt;="&amp;A104),"")</f>
        <v/>
      </c>
    </row>
    <row r="105">
      <c r="A105" s="32" t="n">
        <v>46349</v>
      </c>
      <c r="B105" s="18" t="n"/>
      <c r="C105" s="18" t="n"/>
      <c r="D105" s="18" t="n"/>
      <c r="E105" s="18" t="n"/>
      <c r="F105" s="18" t="n"/>
      <c r="G105" s="18" t="n"/>
      <c r="H105" s="18" t="n"/>
      <c r="I105" s="18" t="n"/>
      <c r="K105" s="31">
        <f>IFERROR(AVERAGEIFS($C$5:$C105,$A$5:$A105,"&gt;="&amp;(A105-6),$A$5:$A105,"&lt;="&amp;A105),"")</f>
        <v/>
      </c>
      <c r="L105" s="31">
        <f>IFERROR(AVERAGEIFS($D$5:$D105,$A$5:$A105,"&gt;="&amp;(A105-6),$A$5:$A105,"&lt;="&amp;A105),"")</f>
        <v/>
      </c>
    </row>
    <row r="106">
      <c r="A106" s="32" t="n">
        <v>46350</v>
      </c>
      <c r="B106" s="18" t="n"/>
      <c r="C106" s="18" t="n"/>
      <c r="D106" s="18" t="n"/>
      <c r="E106" s="18" t="n"/>
      <c r="F106" s="18" t="n"/>
      <c r="G106" s="18" t="n"/>
      <c r="H106" s="18" t="n"/>
      <c r="I106" s="18" t="n"/>
      <c r="K106" s="31">
        <f>IFERROR(AVERAGEIFS($C$5:$C106,$A$5:$A106,"&gt;="&amp;(A106-6),$A$5:$A106,"&lt;="&amp;A106),"")</f>
        <v/>
      </c>
      <c r="L106" s="31">
        <f>IFERROR(AVERAGEIFS($D$5:$D106,$A$5:$A106,"&gt;="&amp;(A106-6),$A$5:$A106,"&lt;="&amp;A106),"")</f>
        <v/>
      </c>
    </row>
    <row r="107">
      <c r="A107" s="32" t="n">
        <v>46351</v>
      </c>
      <c r="B107" s="18" t="n"/>
      <c r="C107" s="18" t="n"/>
      <c r="D107" s="18" t="n"/>
      <c r="E107" s="18" t="n"/>
      <c r="F107" s="18" t="n"/>
      <c r="G107" s="18" t="n"/>
      <c r="H107" s="18" t="n"/>
      <c r="I107" s="18" t="n"/>
      <c r="K107" s="31">
        <f>IFERROR(AVERAGEIFS($C$5:$C107,$A$5:$A107,"&gt;="&amp;(A107-6),$A$5:$A107,"&lt;="&amp;A107),"")</f>
        <v/>
      </c>
      <c r="L107" s="31">
        <f>IFERROR(AVERAGEIFS($D$5:$D107,$A$5:$A107,"&gt;="&amp;(A107-6),$A$5:$A107,"&lt;="&amp;A107),"")</f>
        <v/>
      </c>
    </row>
    <row r="108">
      <c r="A108" s="32" t="n">
        <v>46352</v>
      </c>
      <c r="B108" s="18" t="n"/>
      <c r="C108" s="18" t="n"/>
      <c r="D108" s="18" t="n"/>
      <c r="E108" s="18" t="n"/>
      <c r="F108" s="18" t="n"/>
      <c r="G108" s="18" t="n"/>
      <c r="H108" s="18" t="n"/>
      <c r="I108" s="18" t="n"/>
      <c r="K108" s="31">
        <f>IFERROR(AVERAGEIFS($C$5:$C108,$A$5:$A108,"&gt;="&amp;(A108-6),$A$5:$A108,"&lt;="&amp;A108),"")</f>
        <v/>
      </c>
      <c r="L108" s="31">
        <f>IFERROR(AVERAGEIFS($D$5:$D108,$A$5:$A108,"&gt;="&amp;(A108-6),$A$5:$A108,"&lt;="&amp;A108),"")</f>
        <v/>
      </c>
    </row>
    <row r="109">
      <c r="A109" s="32" t="n">
        <v>46353</v>
      </c>
      <c r="B109" s="18" t="n"/>
      <c r="C109" s="18" t="n"/>
      <c r="D109" s="18" t="n"/>
      <c r="E109" s="18" t="n"/>
      <c r="F109" s="18" t="n"/>
      <c r="G109" s="18" t="n"/>
      <c r="H109" s="18" t="n"/>
      <c r="I109" s="18" t="n"/>
      <c r="K109" s="31">
        <f>IFERROR(AVERAGEIFS($C$5:$C109,$A$5:$A109,"&gt;="&amp;(A109-6),$A$5:$A109,"&lt;="&amp;A109),"")</f>
        <v/>
      </c>
      <c r="L109" s="31">
        <f>IFERROR(AVERAGEIFS($D$5:$D109,$A$5:$A109,"&gt;="&amp;(A109-6),$A$5:$A109,"&lt;="&amp;A109),"")</f>
        <v/>
      </c>
    </row>
    <row r="110">
      <c r="A110" s="32" t="n">
        <v>46354</v>
      </c>
      <c r="B110" s="18" t="n"/>
      <c r="C110" s="18" t="n"/>
      <c r="D110" s="18" t="n"/>
      <c r="E110" s="18" t="n"/>
      <c r="F110" s="18" t="n"/>
      <c r="G110" s="18" t="n"/>
      <c r="H110" s="18" t="n"/>
      <c r="I110" s="18" t="n"/>
      <c r="K110" s="31">
        <f>IFERROR(AVERAGEIFS($C$5:$C110,$A$5:$A110,"&gt;="&amp;(A110-6),$A$5:$A110,"&lt;="&amp;A110),"")</f>
        <v/>
      </c>
      <c r="L110" s="31">
        <f>IFERROR(AVERAGEIFS($D$5:$D110,$A$5:$A110,"&gt;="&amp;(A110-6),$A$5:$A110,"&lt;="&amp;A110),"")</f>
        <v/>
      </c>
    </row>
    <row r="111">
      <c r="A111" s="32" t="n">
        <v>46355</v>
      </c>
      <c r="B111" s="18" t="n"/>
      <c r="C111" s="18" t="n"/>
      <c r="D111" s="18" t="n"/>
      <c r="E111" s="18" t="n"/>
      <c r="F111" s="18" t="n"/>
      <c r="G111" s="18" t="n"/>
      <c r="H111" s="18" t="n"/>
      <c r="I111" s="18" t="n"/>
      <c r="K111" s="31">
        <f>IFERROR(AVERAGEIFS($C$5:$C111,$A$5:$A111,"&gt;="&amp;(A111-6),$A$5:$A111,"&lt;="&amp;A111),"")</f>
        <v/>
      </c>
      <c r="L111" s="31">
        <f>IFERROR(AVERAGEIFS($D$5:$D111,$A$5:$A111,"&gt;="&amp;(A111-6),$A$5:$A111,"&lt;="&amp;A111),"")</f>
        <v/>
      </c>
    </row>
    <row r="112">
      <c r="A112" s="32" t="n">
        <v>46356</v>
      </c>
      <c r="B112" s="18" t="n"/>
      <c r="C112" s="18" t="n"/>
      <c r="D112" s="18" t="n"/>
      <c r="E112" s="18" t="n"/>
      <c r="F112" s="18" t="n"/>
      <c r="G112" s="18" t="n"/>
      <c r="H112" s="18" t="n"/>
      <c r="I112" s="18" t="n"/>
      <c r="K112" s="31">
        <f>IFERROR(AVERAGEIFS($C$5:$C112,$A$5:$A112,"&gt;="&amp;(A112-6),$A$5:$A112,"&lt;="&amp;A112),"")</f>
        <v/>
      </c>
      <c r="L112" s="31">
        <f>IFERROR(AVERAGEIFS($D$5:$D112,$A$5:$A112,"&gt;="&amp;(A112-6),$A$5:$A112,"&lt;="&amp;A112),"")</f>
        <v/>
      </c>
    </row>
    <row r="113">
      <c r="A113" s="32" t="n">
        <v>46357</v>
      </c>
      <c r="B113" s="18" t="n"/>
      <c r="C113" s="18" t="n"/>
      <c r="D113" s="18" t="n"/>
      <c r="E113" s="18" t="n"/>
      <c r="F113" s="18" t="n"/>
      <c r="G113" s="18" t="n"/>
      <c r="H113" s="18" t="n"/>
      <c r="I113" s="18" t="n"/>
      <c r="K113" s="31">
        <f>IFERROR(AVERAGEIFS($C$5:$C113,$A$5:$A113,"&gt;="&amp;(A113-6),$A$5:$A113,"&lt;="&amp;A113),"")</f>
        <v/>
      </c>
      <c r="L113" s="31">
        <f>IFERROR(AVERAGEIFS($D$5:$D113,$A$5:$A113,"&gt;="&amp;(A113-6),$A$5:$A113,"&lt;="&amp;A113),"")</f>
        <v/>
      </c>
    </row>
    <row r="114">
      <c r="A114" s="32" t="n">
        <v>46358</v>
      </c>
      <c r="B114" s="18" t="n"/>
      <c r="C114" s="18" t="n"/>
      <c r="D114" s="18" t="n"/>
      <c r="E114" s="18" t="n"/>
      <c r="F114" s="18" t="n"/>
      <c r="G114" s="18" t="n"/>
      <c r="H114" s="18" t="n"/>
      <c r="I114" s="18" t="n"/>
      <c r="K114" s="31">
        <f>IFERROR(AVERAGEIFS($C$5:$C114,$A$5:$A114,"&gt;="&amp;(A114-6),$A$5:$A114,"&lt;="&amp;A114),"")</f>
        <v/>
      </c>
      <c r="L114" s="31">
        <f>IFERROR(AVERAGEIFS($D$5:$D114,$A$5:$A114,"&gt;="&amp;(A114-6),$A$5:$A114,"&lt;="&amp;A114),"")</f>
        <v/>
      </c>
    </row>
    <row r="115">
      <c r="A115" s="32" t="n">
        <v>46359</v>
      </c>
      <c r="B115" s="18" t="n"/>
      <c r="C115" s="18" t="n"/>
      <c r="D115" s="18" t="n"/>
      <c r="E115" s="18" t="n"/>
      <c r="F115" s="18" t="n"/>
      <c r="G115" s="18" t="n"/>
      <c r="H115" s="18" t="n"/>
      <c r="I115" s="18" t="n"/>
      <c r="K115" s="31">
        <f>IFERROR(AVERAGEIFS($C$5:$C115,$A$5:$A115,"&gt;="&amp;(A115-6),$A$5:$A115,"&lt;="&amp;A115),"")</f>
        <v/>
      </c>
      <c r="L115" s="31">
        <f>IFERROR(AVERAGEIFS($D$5:$D115,$A$5:$A115,"&gt;="&amp;(A115-6),$A$5:$A115,"&lt;="&amp;A115),"")</f>
        <v/>
      </c>
    </row>
    <row r="116">
      <c r="A116" s="32" t="n">
        <v>46360</v>
      </c>
      <c r="B116" s="18" t="n"/>
      <c r="C116" s="18" t="n"/>
      <c r="D116" s="18" t="n"/>
      <c r="E116" s="18" t="n"/>
      <c r="F116" s="18" t="n"/>
      <c r="G116" s="18" t="n"/>
      <c r="H116" s="18" t="n"/>
      <c r="I116" s="18" t="n"/>
      <c r="K116" s="31">
        <f>IFERROR(AVERAGEIFS($C$5:$C116,$A$5:$A116,"&gt;="&amp;(A116-6),$A$5:$A116,"&lt;="&amp;A116),"")</f>
        <v/>
      </c>
      <c r="L116" s="31">
        <f>IFERROR(AVERAGEIFS($D$5:$D116,$A$5:$A116,"&gt;="&amp;(A116-6),$A$5:$A116,"&lt;="&amp;A116),"")</f>
        <v/>
      </c>
    </row>
    <row r="117">
      <c r="A117" s="32" t="n">
        <v>46361</v>
      </c>
      <c r="B117" s="18" t="n"/>
      <c r="C117" s="18" t="n"/>
      <c r="D117" s="18" t="n"/>
      <c r="E117" s="18" t="n"/>
      <c r="F117" s="18" t="n"/>
      <c r="G117" s="18" t="n"/>
      <c r="H117" s="18" t="n"/>
      <c r="I117" s="18" t="n"/>
      <c r="K117" s="31">
        <f>IFERROR(AVERAGEIFS($C$5:$C117,$A$5:$A117,"&gt;="&amp;(A117-6),$A$5:$A117,"&lt;="&amp;A117),"")</f>
        <v/>
      </c>
      <c r="L117" s="31">
        <f>IFERROR(AVERAGEIFS($D$5:$D117,$A$5:$A117,"&gt;="&amp;(A117-6),$A$5:$A117,"&lt;="&amp;A117),"")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6" customWidth="1" min="14" max="14"/>
  </cols>
  <sheetData>
    <row r="1">
      <c r="A1" s="1" t="inlineStr">
        <is>
          <t>Advisory Board Log</t>
        </is>
      </c>
    </row>
    <row r="2">
      <c r="A2" s="2" t="inlineStr">
        <is>
          <t>1 = flagged something that day, 0 = approved, nothing to flag. Only real evaluated days get a row — nothing pre-filled ahead of time.</t>
        </is>
      </c>
    </row>
    <row r="4">
      <c r="A4" s="15" t="inlineStr">
        <is>
          <t>Date</t>
        </is>
      </c>
      <c r="B4" s="15" t="inlineStr">
        <is>
          <t>Mark Hyman</t>
        </is>
      </c>
      <c r="C4" s="15" t="inlineStr">
        <is>
          <t>Benjamin Bikman</t>
        </is>
      </c>
      <c r="D4" s="15" t="inlineStr">
        <is>
          <t>Rena Malik</t>
        </is>
      </c>
      <c r="E4" s="15" t="inlineStr">
        <is>
          <t>Brad Schoenfeld</t>
        </is>
      </c>
      <c r="F4" s="15" t="inlineStr">
        <is>
          <t>Peter Attia</t>
        </is>
      </c>
      <c r="G4" s="15" t="inlineStr">
        <is>
          <t>Gary Brecka</t>
        </is>
      </c>
      <c r="H4" s="15" t="inlineStr">
        <is>
          <t>Andy Galpin</t>
        </is>
      </c>
      <c r="I4" s="15" t="inlineStr">
        <is>
          <t>Layne Norton</t>
        </is>
      </c>
      <c r="J4" s="15" t="inlineStr">
        <is>
          <t>Andrew Huberman</t>
        </is>
      </c>
      <c r="K4" s="15" t="inlineStr">
        <is>
          <t>Arthur C. Brooks</t>
        </is>
      </c>
      <c r="L4" s="15" t="inlineStr">
        <is>
          <t>Chip Conley</t>
        </is>
      </c>
      <c r="M4" s="15" t="inlineStr">
        <is>
          <t>William Li</t>
        </is>
      </c>
      <c r="N4" s="15" t="inlineStr">
        <is>
          <t>Jessie Inchauspe</t>
        </is>
      </c>
    </row>
    <row r="5">
      <c r="A5" s="29" t="n">
        <v>46249</v>
      </c>
      <c r="B5" s="36" t="n">
        <v>1</v>
      </c>
      <c r="C5" s="36" t="n">
        <v>1</v>
      </c>
      <c r="D5" s="36" t="n">
        <v>1</v>
      </c>
      <c r="E5" s="36" t="n">
        <v>1</v>
      </c>
      <c r="F5" s="36" t="n">
        <v>1</v>
      </c>
      <c r="G5" s="36" t="n">
        <v>1</v>
      </c>
      <c r="H5" s="36" t="n">
        <v>0</v>
      </c>
      <c r="I5" s="36" t="n">
        <v>0</v>
      </c>
      <c r="J5" s="36" t="n">
        <v>0</v>
      </c>
      <c r="K5" s="36" t="n">
        <v>0</v>
      </c>
      <c r="L5" s="36" t="n">
        <v>0</v>
      </c>
      <c r="M5" s="36" t="n">
        <v>1</v>
      </c>
      <c r="N5" s="18" t="n"/>
    </row>
    <row r="6">
      <c r="A6" s="29" t="n">
        <v>46250</v>
      </c>
      <c r="B6" s="18" t="n">
        <v>0</v>
      </c>
      <c r="C6" s="18" t="n">
        <v>0</v>
      </c>
      <c r="D6" s="18" t="n">
        <v>0</v>
      </c>
      <c r="E6" s="18" t="n">
        <v>0</v>
      </c>
      <c r="F6" s="18" t="n">
        <v>1</v>
      </c>
      <c r="G6" s="18" t="n">
        <v>0</v>
      </c>
      <c r="H6" s="18" t="n">
        <v>0</v>
      </c>
      <c r="I6" s="18" t="n">
        <v>1</v>
      </c>
      <c r="J6" s="18" t="n">
        <v>0</v>
      </c>
      <c r="K6" s="18" t="n">
        <v>0</v>
      </c>
      <c r="L6" s="18" t="n">
        <v>0</v>
      </c>
      <c r="M6" s="18" t="n">
        <v>0</v>
      </c>
      <c r="N6" s="18" t="n">
        <v>0</v>
      </c>
    </row>
    <row r="7">
      <c r="A7" s="29" t="n">
        <v>46251</v>
      </c>
      <c r="B7" s="18" t="n">
        <v>0</v>
      </c>
      <c r="C7" s="18" t="n">
        <v>1</v>
      </c>
      <c r="D7" s="18" t="n">
        <v>0</v>
      </c>
      <c r="E7" s="18" t="n">
        <v>0</v>
      </c>
      <c r="F7" s="18" t="n">
        <v>1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</row>
    <row r="8">
      <c r="A8" s="29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29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29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29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29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29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29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29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29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29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29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29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29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29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29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29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29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29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29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29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  <row r="28">
      <c r="A28" s="29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</row>
    <row r="29">
      <c r="A29" s="29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</row>
    <row r="30">
      <c r="A30" s="29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</row>
    <row r="31">
      <c r="A31" s="29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</row>
    <row r="32">
      <c r="A32" s="29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</row>
    <row r="33">
      <c r="A33" s="29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</row>
    <row r="34">
      <c r="A34" s="29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</row>
    <row r="38">
      <c r="A38" s="1" t="inlineStr">
        <is>
          <t>Board Status</t>
        </is>
      </c>
    </row>
    <row r="39">
      <c r="A39" s="2" t="inlineStr">
        <is>
          <t>Updates automatically as rows are added above. "Review" only triggers after 10 real logged days exist — never before.</t>
        </is>
      </c>
      <c r="C39" s="4" t="inlineStr">
        <is>
          <t>Days logged so far:</t>
        </is>
      </c>
      <c r="D39" s="3">
        <f>COUNT($A$5:$A$34)</f>
        <v/>
      </c>
    </row>
    <row r="41">
      <c r="A41" s="15" t="inlineStr">
        <is>
          <t>Advisor</t>
        </is>
      </c>
      <c r="B41" s="15" t="inlineStr">
        <is>
          <t>Last Flagged</t>
        </is>
      </c>
      <c r="C41" s="15" t="inlineStr">
        <is>
          <t>Days Silent</t>
        </is>
      </c>
      <c r="D41" s="15" t="inlineStr">
        <is>
          <t>Status</t>
        </is>
      </c>
    </row>
    <row r="42">
      <c r="A42" s="3" t="inlineStr">
        <is>
          <t>Mark Hyman</t>
        </is>
      </c>
      <c r="B42" s="37">
        <f>IFERROR(_xlfn.MAXIFS($A$5:$A$34,B$5:B$34,1),"")</f>
        <v/>
      </c>
      <c r="C42" s="38">
        <f>IF(B42="",IF($D$39&gt;=1,TODAY()-INDEX($A$5:$A$34,1),""),TODAY()-B42)</f>
        <v/>
      </c>
      <c r="D42" s="42" t="inlineStr">
        <is>
          <t>Retired 2026-08-18 (history preserved)</t>
        </is>
      </c>
    </row>
    <row r="43">
      <c r="A43" s="3" t="inlineStr">
        <is>
          <t>Benjamin Bikman</t>
        </is>
      </c>
      <c r="B43" s="37">
        <f>IFERROR(_xlfn.MAXIFS($A$5:$A$34,C$5:C$34,1),"")</f>
        <v/>
      </c>
      <c r="C43" s="38">
        <f>IF(B43="",IF($D$39&gt;=1,TODAY()-INDEX($A$5:$A$34,1),""),TODAY()-B43)</f>
        <v/>
      </c>
      <c r="D43" s="3">
        <f>IF($D$39&lt;10,"Collecting data",IF(C43&gt;=10,"REVIEW — notify Roberto","Active"))</f>
        <v/>
      </c>
    </row>
    <row r="44">
      <c r="A44" s="3" t="inlineStr">
        <is>
          <t>Rena Malik</t>
        </is>
      </c>
      <c r="B44" s="37">
        <f>IFERROR(_xlfn.MAXIFS($A$5:$A$34,D$5:D$34,1),"")</f>
        <v/>
      </c>
      <c r="C44" s="38">
        <f>IF(B44="",IF($D$39&gt;=1,TODAY()-INDEX($A$5:$A$34,1),""),TODAY()-B44)</f>
        <v/>
      </c>
      <c r="D44" s="42" t="inlineStr">
        <is>
          <t>Retired 2026-08-18 (history preserved)</t>
        </is>
      </c>
    </row>
    <row r="45">
      <c r="A45" s="3" t="inlineStr">
        <is>
          <t>Brad Schoenfeld</t>
        </is>
      </c>
      <c r="B45" s="37">
        <f>IFERROR(_xlfn.MAXIFS($A$5:$A$34,E$5:E$34,1),"")</f>
        <v/>
      </c>
      <c r="C45" s="38">
        <f>IF(B45="",IF($D$39&gt;=1,TODAY()-INDEX($A$5:$A$34,1),""),TODAY()-B45)</f>
        <v/>
      </c>
      <c r="D45" s="3">
        <f>IF($D$39&lt;10,"Collecting data",IF(C45&gt;=10,"REVIEW — notify Roberto","Active"))</f>
        <v/>
      </c>
    </row>
    <row r="46">
      <c r="A46" s="3" t="inlineStr">
        <is>
          <t>Peter Attia</t>
        </is>
      </c>
      <c r="B46" s="37">
        <f>IFERROR(_xlfn.MAXIFS($A$5:$A$34,F$5:F$34,1),"")</f>
        <v/>
      </c>
      <c r="C46" s="38">
        <f>IF(B46="",IF($D$39&gt;=1,TODAY()-INDEX($A$5:$A$34,1),""),TODAY()-B46)</f>
        <v/>
      </c>
      <c r="D46" s="3">
        <f>IF($D$39&lt;10,"Collecting data",IF(C46&gt;=10,"REVIEW — notify Roberto","Active"))</f>
        <v/>
      </c>
    </row>
    <row r="47">
      <c r="A47" s="3" t="inlineStr">
        <is>
          <t>Gary Brecka</t>
        </is>
      </c>
      <c r="B47" s="37">
        <f>IFERROR(_xlfn.MAXIFS($A$5:$A$34,G$5:G$34,1),"")</f>
        <v/>
      </c>
      <c r="C47" s="38">
        <f>IF(B47="",IF($D$39&gt;=1,TODAY()-INDEX($A$5:$A$34,1),""),TODAY()-B47)</f>
        <v/>
      </c>
      <c r="D47" s="3">
        <f>IF($D$39&lt;10,"Collecting data",IF(C47&gt;=10,"REVIEW — notify Roberto","Active"))</f>
        <v/>
      </c>
    </row>
    <row r="48">
      <c r="A48" s="3" t="inlineStr">
        <is>
          <t>Andy Galpin</t>
        </is>
      </c>
      <c r="B48" s="37">
        <f>IFERROR(_xlfn.MAXIFS($A$5:$A$34,H$5:H$34,1),"")</f>
        <v/>
      </c>
      <c r="C48" s="38">
        <f>IF(B48="",IF($D$39&gt;=1,TODAY()-INDEX($A$5:$A$34,1),""),TODAY()-B48)</f>
        <v/>
      </c>
      <c r="D48" s="42" t="inlineStr">
        <is>
          <t>Retired 2026-08-18 (history preserved)</t>
        </is>
      </c>
    </row>
    <row r="49">
      <c r="A49" s="3" t="inlineStr">
        <is>
          <t>Layne Norton</t>
        </is>
      </c>
      <c r="B49" s="37">
        <f>IFERROR(_xlfn.MAXIFS($A$5:$A$34,I$5:I$34,1),"")</f>
        <v/>
      </c>
      <c r="C49" s="38">
        <f>IF(B49="",IF($D$39&gt;=1,TODAY()-INDEX($A$5:$A$34,1),""),TODAY()-B49)</f>
        <v/>
      </c>
      <c r="D49" s="3">
        <f>IF($D$39&lt;10,"Collecting data",IF(C49&gt;=10,"REVIEW — notify Roberto","Active"))</f>
        <v/>
      </c>
    </row>
    <row r="50">
      <c r="A50" s="3" t="inlineStr">
        <is>
          <t>Andrew Huberman</t>
        </is>
      </c>
      <c r="B50" s="37">
        <f>IFERROR(_xlfn.MAXIFS($A$5:$A$34,J$5:J$34,1),"")</f>
        <v/>
      </c>
      <c r="C50" s="38">
        <f>IF(B50="",IF($D$39&gt;=1,TODAY()-INDEX($A$5:$A$34,1),""),TODAY()-B50)</f>
        <v/>
      </c>
      <c r="D50" s="3">
        <f>IF($D$39&lt;10,"Collecting data",IF(C50&gt;=10,"REVIEW — notify Roberto","Active"))</f>
        <v/>
      </c>
    </row>
    <row r="51">
      <c r="A51" s="3" t="inlineStr">
        <is>
          <t>Arthur C. Brooks</t>
        </is>
      </c>
      <c r="B51" s="37">
        <f>IFERROR(_xlfn.MAXIFS($A$5:$A$34,K$5:K$34,1),"")</f>
        <v/>
      </c>
      <c r="C51" s="38">
        <f>IF(B51="",IF($D$39&gt;=1,TODAY()-INDEX($A$5:$A$34,1),""),TODAY()-B51)</f>
        <v/>
      </c>
      <c r="D51" s="42" t="inlineStr">
        <is>
          <t>Retired 2026-08-18 (history preserved)</t>
        </is>
      </c>
    </row>
    <row r="52">
      <c r="A52" s="3" t="inlineStr">
        <is>
          <t>Chip Conley</t>
        </is>
      </c>
      <c r="B52" s="37">
        <f>IFERROR(_xlfn.MAXIFS($A$5:$A$34,L$5:L$34,1),"")</f>
        <v/>
      </c>
      <c r="C52" s="38">
        <f>IF(B52="",IF($D$39&gt;=1,TODAY()-INDEX($A$5:$A$34,1),""),TODAY()-B52)</f>
        <v/>
      </c>
      <c r="D52" s="42" t="inlineStr">
        <is>
          <t>Retired 2026-08-18 (history preserved)</t>
        </is>
      </c>
    </row>
    <row r="53">
      <c r="A53" s="3" t="inlineStr">
        <is>
          <t>William Li</t>
        </is>
      </c>
      <c r="B53" s="37">
        <f>IFERROR(_xlfn.MAXIFS($A$5:$A$34,M$5:M$34,1),"")</f>
        <v/>
      </c>
      <c r="C53" s="38">
        <f>IF(B53="",IF($D$39&gt;=1,TODAY()-INDEX($A$5:$A$34,1),""),TODAY()-B53)</f>
        <v/>
      </c>
      <c r="D53" s="42" t="inlineStr">
        <is>
          <t>Retired 2026-08-18 (history preserved)</t>
        </is>
      </c>
    </row>
    <row r="54">
      <c r="A54" s="3" t="inlineStr">
        <is>
          <t>Jessie Inchauspe</t>
        </is>
      </c>
      <c r="B54" s="37">
        <f>IFERROR(_xlfn.MAXIFS($A$5:$A$34,N$5:N$34,1),"")</f>
        <v/>
      </c>
      <c r="C54" s="38">
        <f>IF(B54="",IF($D$39&gt;=1,TODAY()-INDEX($A$5:$A$34,1),""),TODAY()-B54)</f>
        <v/>
      </c>
      <c r="D54" s="42" t="inlineStr">
        <is>
          <t>Retired 2026-08-18 (history preserved)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13" customWidth="1" min="5" max="5"/>
    <col width="9" customWidth="1" min="6" max="6"/>
    <col width="9" customWidth="1" min="7" max="7"/>
    <col width="8" customWidth="1" min="8" max="8"/>
    <col width="15" customWidth="1" min="9" max="9"/>
    <col width="11" customWidth="1" min="10" max="10"/>
    <col width="12" customWidth="1" min="11" max="11"/>
    <col width="30" customWidth="1" min="12" max="12"/>
  </cols>
  <sheetData>
    <row r="1">
      <c r="A1" s="1" t="inlineStr">
        <is>
          <t>Bloodwork</t>
        </is>
      </c>
    </row>
    <row r="2">
      <c r="A2" s="2" t="inlineStr">
        <is>
          <t>One row per panel drawn. Blank until real results land — nothing pre-filled or estimated. First panel expected ~2026-08-26.</t>
        </is>
      </c>
    </row>
    <row r="4">
      <c r="A4" s="15" t="inlineStr">
        <is>
          <t>Date Drawn</t>
        </is>
      </c>
      <c r="B4" s="15" t="inlineStr">
        <is>
          <t>Total Chol</t>
        </is>
      </c>
      <c r="C4" s="15" t="inlineStr">
        <is>
          <t>LDL</t>
        </is>
      </c>
      <c r="D4" s="15" t="inlineStr">
        <is>
          <t>HDL</t>
        </is>
      </c>
      <c r="E4" s="15" t="inlineStr">
        <is>
          <t>Triglycerides</t>
        </is>
      </c>
      <c r="F4" s="15" t="inlineStr">
        <is>
          <t>ApoB</t>
        </is>
      </c>
      <c r="G4" s="15" t="inlineStr">
        <is>
          <t>hs-CRP</t>
        </is>
      </c>
      <c r="H4" s="15" t="inlineStr">
        <is>
          <t>A1C</t>
        </is>
      </c>
      <c r="I4" s="15" t="inlineStr">
        <is>
          <t>Fasting Glucose</t>
        </is>
      </c>
      <c r="J4" s="15" t="inlineStr">
        <is>
          <t>Vitamin D</t>
        </is>
      </c>
      <c r="K4" s="15" t="inlineStr">
        <is>
          <t>Testosterone</t>
        </is>
      </c>
      <c r="L4" s="15" t="inlineStr">
        <is>
          <t>Notes</t>
        </is>
      </c>
    </row>
    <row r="5">
      <c r="A5" s="29" t="inlineStr">
        <is>
          <t>2026-08-13</t>
        </is>
      </c>
      <c r="B5" s="18" t="inlineStr">
        <is>
          <t>N/A</t>
        </is>
      </c>
      <c r="C5" s="18" t="inlineStr">
        <is>
          <t>N/A</t>
        </is>
      </c>
      <c r="D5" s="18" t="inlineStr">
        <is>
          <t>N/A</t>
        </is>
      </c>
      <c r="E5" s="18" t="inlineStr">
        <is>
          <t>N/A</t>
        </is>
      </c>
      <c r="F5" s="18" t="n">
        <v>130</v>
      </c>
      <c r="G5" s="18" t="n">
        <v>0.84</v>
      </c>
      <c r="H5" s="18" t="n">
        <v>5.6</v>
      </c>
      <c r="I5" s="18" t="n">
        <v>104</v>
      </c>
      <c r="J5" s="18" t="n">
        <v>30.8</v>
      </c>
      <c r="K5" s="18" t="n">
        <v>631</v>
      </c>
      <c r="L5" s="18" t="inlineStr">
        <is>
          <t>FINAL LabCorp panel (collected 8/13, finalized 8/19). No lipid panel (Chol/LDL/HDL/Trig) drawn this round. ApoB 130 mg/dL - flagged HIGH by lab (desirable &lt;90, high 100-130, very high &gt;130) - this is the headline finding: ApoB is the primary cardiovascular risk marker in the Attia-influenced coaching style this dashboard uses, and 130 sits at the top of the High band. Cardiac hs-CRP 0.84 mg/L - Low risk (&lt;1.00), good news, low inflammation. IGF-1 167 ng/mL - normal (ref 64-240). Glucose 104 mg/dL flagged High, fasting status not recorded - not conclusive alone. A1C 5.6% at top of normal. Vitamin D 30.8, testosterone 631 (free 10.2) - both normal. TSH/T4/kidney/liver/CBC all in range. Flag ApoB + glucose to Dr. Aldrich - not medical advice.</t>
        </is>
      </c>
    </row>
    <row r="6">
      <c r="A6" s="29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</row>
    <row r="7">
      <c r="A7" s="29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</row>
    <row r="8">
      <c r="A8" s="29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</row>
    <row r="9">
      <c r="A9" s="29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</row>
    <row r="10">
      <c r="A10" s="29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</row>
    <row r="11">
      <c r="A11" s="29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</row>
    <row r="12">
      <c r="A12" s="29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</row>
    <row r="13">
      <c r="A13" s="29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</row>
    <row r="14">
      <c r="A14" s="29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</row>
    <row r="15">
      <c r="A15" s="29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>
      <c r="A16" s="29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2" customWidth="1" min="4" max="4"/>
    <col width="14" customWidth="1" min="5" max="5"/>
    <col width="12" customWidth="1" min="6" max="6"/>
    <col width="22" customWidth="1" min="7" max="7"/>
  </cols>
  <sheetData>
    <row r="1">
      <c r="A1" s="15" t="inlineStr">
        <is>
          <t>Month</t>
        </is>
      </c>
      <c r="B1" s="15" t="inlineStr">
        <is>
          <t>Avg Weight (lb)</t>
        </is>
      </c>
      <c r="C1" s="15" t="inlineStr">
        <is>
          <t>Weight Change vs Prior Month</t>
        </is>
      </c>
      <c r="D1" s="15" t="inlineStr">
        <is>
          <t>Avg Calories</t>
        </is>
      </c>
      <c r="E1" s="15" t="inlineStr">
        <is>
          <t>Avg Protein (g)</t>
        </is>
      </c>
      <c r="F1" s="15" t="inlineStr">
        <is>
          <t>Days Logged</t>
        </is>
      </c>
      <c r="G1" s="15" t="inlineStr">
        <is>
          <t>Days On Target (±100 kcal)</t>
        </is>
      </c>
    </row>
    <row r="2">
      <c r="A2" s="35" t="n">
        <v>46235</v>
      </c>
      <c r="B2" s="33">
        <f>IFERROR(AVERAGEIFS('Daily Log'!$B$2:$B$114,'Daily Log'!$A$2:$A$114,"&gt;="&amp;A2,'Daily Log'!$A$2:$A$114,"&lt;"&amp;(EOMONTH(A2,0)+1)),"")</f>
        <v/>
      </c>
      <c r="D2" s="34">
        <f>IFERROR(AVERAGEIFS('Daily Log'!$C$2:$C$114,'Daily Log'!$A$2:$A$114,"&gt;="&amp;A2,'Daily Log'!$A$2:$A$114,"&lt;"&amp;(EOMONTH(A2,0)+1)),"")</f>
        <v/>
      </c>
      <c r="E2" s="34">
        <f>IFERROR(AVERAGEIFS('Daily Log'!$D$2:$D$114,'Daily Log'!$A$2:$A$114,"&gt;="&amp;A2,'Daily Log'!$A$2:$A$114,"&lt;"&amp;(EOMONTH(A2,0)+1)),"")</f>
        <v/>
      </c>
      <c r="F2" s="3">
        <f>COUNTIFS('Daily Log'!$A$2:$A$114,"&gt;="&amp;A2,'Daily Log'!$A$2:$A$114,"&lt;"&amp;(EOMONTH(A2,0)+1),'Daily Log'!$C$2:$C$114,"&lt;&gt;")</f>
        <v/>
      </c>
      <c r="G2" s="3">
        <f>COUNTIFS('Daily Log'!$A$2:$A$114,"&gt;="&amp;A2,'Daily Log'!$A$2:$A$114,"&lt;"&amp;(EOMONTH(A2,0)+1),'Daily Log'!$C$2:$C$114,"&gt;="&amp;(Targets!$B$12-100),'Daily Log'!$C$2:$C$114,"&lt;="&amp;(Targets!$B$12+100))</f>
        <v/>
      </c>
    </row>
    <row r="3">
      <c r="A3" s="35" t="n">
        <v>46266</v>
      </c>
      <c r="B3" s="33">
        <f>IFERROR(AVERAGEIFS('Daily Log'!$B$2:$B$114,'Daily Log'!$A$2:$A$114,"&gt;="&amp;A3,'Daily Log'!$A$2:$A$114,"&lt;"&amp;(EOMONTH(A3,0)+1)),"")</f>
        <v/>
      </c>
      <c r="C3" s="33">
        <f>IF(OR(B3="",B2=""),"",B3-B2)</f>
        <v/>
      </c>
      <c r="D3" s="34">
        <f>IFERROR(AVERAGEIFS('Daily Log'!$C$2:$C$114,'Daily Log'!$A$2:$A$114,"&gt;="&amp;A3,'Daily Log'!$A$2:$A$114,"&lt;"&amp;(EOMONTH(A3,0)+1)),"")</f>
        <v/>
      </c>
      <c r="E3" s="34">
        <f>IFERROR(AVERAGEIFS('Daily Log'!$D$2:$D$114,'Daily Log'!$A$2:$A$114,"&gt;="&amp;A3,'Daily Log'!$A$2:$A$114,"&lt;"&amp;(EOMONTH(A3,0)+1)),"")</f>
        <v/>
      </c>
      <c r="F3" s="3">
        <f>COUNTIFS('Daily Log'!$A$2:$A$114,"&gt;="&amp;A3,'Daily Log'!$A$2:$A$114,"&lt;"&amp;(EOMONTH(A3,0)+1),'Daily Log'!$C$2:$C$114,"&lt;&gt;")</f>
        <v/>
      </c>
      <c r="G3" s="3">
        <f>COUNTIFS('Daily Log'!$A$2:$A$114,"&gt;="&amp;A3,'Daily Log'!$A$2:$A$114,"&lt;"&amp;(EOMONTH(A3,0)+1),'Daily Log'!$C$2:$C$114,"&gt;="&amp;(Targets!$B$12-100),'Daily Log'!$C$2:$C$114,"&lt;="&amp;(Targets!$B$12+100))</f>
        <v/>
      </c>
    </row>
    <row r="4">
      <c r="A4" s="35" t="n">
        <v>46296</v>
      </c>
      <c r="B4" s="33">
        <f>IFERROR(AVERAGEIFS('Daily Log'!$B$2:$B$114,'Daily Log'!$A$2:$A$114,"&gt;="&amp;A4,'Daily Log'!$A$2:$A$114,"&lt;"&amp;(EOMONTH(A4,0)+1)),"")</f>
        <v/>
      </c>
      <c r="C4" s="33">
        <f>IF(OR(B4="",B3=""),"",B4-B3)</f>
        <v/>
      </c>
      <c r="D4" s="34">
        <f>IFERROR(AVERAGEIFS('Daily Log'!$C$2:$C$114,'Daily Log'!$A$2:$A$114,"&gt;="&amp;A4,'Daily Log'!$A$2:$A$114,"&lt;"&amp;(EOMONTH(A4,0)+1)),"")</f>
        <v/>
      </c>
      <c r="E4" s="34">
        <f>IFERROR(AVERAGEIFS('Daily Log'!$D$2:$D$114,'Daily Log'!$A$2:$A$114,"&gt;="&amp;A4,'Daily Log'!$A$2:$A$114,"&lt;"&amp;(EOMONTH(A4,0)+1)),"")</f>
        <v/>
      </c>
      <c r="F4" s="3">
        <f>COUNTIFS('Daily Log'!$A$2:$A$114,"&gt;="&amp;A4,'Daily Log'!$A$2:$A$114,"&lt;"&amp;(EOMONTH(A4,0)+1),'Daily Log'!$C$2:$C$114,"&lt;&gt;")</f>
        <v/>
      </c>
      <c r="G4" s="3">
        <f>COUNTIFS('Daily Log'!$A$2:$A$114,"&gt;="&amp;A4,'Daily Log'!$A$2:$A$114,"&lt;"&amp;(EOMONTH(A4,0)+1),'Daily Log'!$C$2:$C$114,"&gt;="&amp;(Targets!$B$12-100),'Daily Log'!$C$2:$C$114,"&lt;="&amp;(Targets!$B$12+100))</f>
        <v/>
      </c>
    </row>
    <row r="5">
      <c r="A5" s="35" t="n">
        <v>46327</v>
      </c>
      <c r="B5" s="33">
        <f>IFERROR(AVERAGEIFS('Daily Log'!$B$2:$B$114,'Daily Log'!$A$2:$A$114,"&gt;="&amp;A5,'Daily Log'!$A$2:$A$114,"&lt;"&amp;(EOMONTH(A5,0)+1)),"")</f>
        <v/>
      </c>
      <c r="C5" s="33">
        <f>IF(OR(B5="",B4=""),"",B5-B4)</f>
        <v/>
      </c>
      <c r="D5" s="34">
        <f>IFERROR(AVERAGEIFS('Daily Log'!$C$2:$C$114,'Daily Log'!$A$2:$A$114,"&gt;="&amp;A5,'Daily Log'!$A$2:$A$114,"&lt;"&amp;(EOMONTH(A5,0)+1)),"")</f>
        <v/>
      </c>
      <c r="E5" s="34">
        <f>IFERROR(AVERAGEIFS('Daily Log'!$D$2:$D$114,'Daily Log'!$A$2:$A$114,"&gt;="&amp;A5,'Daily Log'!$A$2:$A$114,"&lt;"&amp;(EOMONTH(A5,0)+1)),"")</f>
        <v/>
      </c>
      <c r="F5" s="3">
        <f>COUNTIFS('Daily Log'!$A$2:$A$114,"&gt;="&amp;A5,'Daily Log'!$A$2:$A$114,"&lt;"&amp;(EOMONTH(A5,0)+1),'Daily Log'!$C$2:$C$114,"&lt;&gt;")</f>
        <v/>
      </c>
      <c r="G5" s="3">
        <f>COUNTIFS('Daily Log'!$A$2:$A$114,"&gt;="&amp;A5,'Daily Log'!$A$2:$A$114,"&lt;"&amp;(EOMONTH(A5,0)+1),'Daily Log'!$C$2:$C$114,"&gt;="&amp;(Targets!$B$12-100),'Daily Log'!$C$2:$C$114,"&lt;="&amp;(Targets!$B$12+100))</f>
        <v/>
      </c>
    </row>
    <row r="6">
      <c r="A6" s="35" t="n">
        <v>46357</v>
      </c>
      <c r="B6" s="33">
        <f>IFERROR(AVERAGEIFS('Daily Log'!$B$2:$B$114,'Daily Log'!$A$2:$A$114,"&gt;="&amp;A6,'Daily Log'!$A$2:$A$114,"&lt;"&amp;(EOMONTH(A6,0)+1)),"")</f>
        <v/>
      </c>
      <c r="C6" s="33">
        <f>IF(OR(B6="",B5=""),"",B6-B5)</f>
        <v/>
      </c>
      <c r="D6" s="34">
        <f>IFERROR(AVERAGEIFS('Daily Log'!$C$2:$C$114,'Daily Log'!$A$2:$A$114,"&gt;="&amp;A6,'Daily Log'!$A$2:$A$114,"&lt;"&amp;(EOMONTH(A6,0)+1)),"")</f>
        <v/>
      </c>
      <c r="E6" s="34">
        <f>IFERROR(AVERAGEIFS('Daily Log'!$D$2:$D$114,'Daily Log'!$A$2:$A$114,"&gt;="&amp;A6,'Daily Log'!$A$2:$A$114,"&lt;"&amp;(EOMONTH(A6,0)+1)),"")</f>
        <v/>
      </c>
      <c r="F6" s="3">
        <f>COUNTIFS('Daily Log'!$A$2:$A$114,"&gt;="&amp;A6,'Daily Log'!$A$2:$A$114,"&lt;"&amp;(EOMONTH(A6,0)+1),'Daily Log'!$C$2:$C$114,"&lt;&gt;")</f>
        <v/>
      </c>
      <c r="G6" s="3">
        <f>COUNTIFS('Daily Log'!$A$2:$A$114,"&gt;="&amp;A6,'Daily Log'!$A$2:$A$114,"&lt;"&amp;(EOMONTH(A6,0)+1),'Daily Log'!$C$2:$C$114,"&gt;="&amp;(Targets!$B$12-100),'Daily Log'!$C$2:$C$114,"&lt;="&amp;(Targets!$B$12+100))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2026-08-16T02:32:41Z</dcterms:created>
  <dcterms:modified xsi:type="dcterms:W3CDTF">2026-08-20T23:25:53Z</dcterms:modified>
</cp:coreProperties>
</file>