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3"/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6"/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3"/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13">
        <f>B10-B11</f>
        <v/>
      </c>
      <c r="C12" s="2" t="inlineStr"/>
    </row>
    <row r="13">
      <c r="A13" s="4" t="inlineStr">
        <is>
          <t>Protein target (g/day)</t>
        </is>
      </c>
      <c r="B13" s="13">
        <f>ROUND(B7*1,0)</f>
        <v/>
      </c>
      <c r="C13" s="2" t="inlineStr">
        <is>
          <t>≈ 1g per lb of GOAL bodyweight — Attia/Lyon-style heuristic to preserve muscle during the cut.</t>
        </is>
      </c>
    </row>
    <row r="14">
      <c r="A14" s="4" t="inlineStr">
        <is>
          <t>Fat target (g/day)</t>
        </is>
      </c>
      <c r="B14" s="13">
        <f>ROUND(B12*0.28/9,0)</f>
        <v/>
      </c>
      <c r="C14" s="2" t="inlineStr">
        <is>
          <t>≈ 28% of calories from fat.</t>
        </is>
      </c>
    </row>
    <row r="15">
      <c r="A15" s="4" t="inlineStr">
        <is>
          <t>Carb target (g/day)</t>
        </is>
      </c>
      <c r="B15" s="13">
        <f>ROUND((B12-B13*4-B14*9)/4,0)</f>
        <v/>
      </c>
      <c r="C15" s="2" t="inlineStr">
        <is>
          <t>Whatever calories remain after protein + fat.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Elevated vs the standard 14g/1000kcal DV — Attia-style gut/metabolic health target.</t>
        </is>
      </c>
    </row>
    <row r="17">
      <c r="A17" s="4" t="inlineStr">
        <is>
          <t>Added sugar ceiling (g/day)</t>
        </is>
      </c>
      <c r="B17" s="11" t="n">
        <v>25</v>
      </c>
      <c r="C17" s="2" t="inlineStr"/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/>
      <c r="C3" s="18" t="n"/>
      <c r="D3" s="18" t="n"/>
      <c r="E3" s="18" t="n"/>
      <c r="F3" s="18" t="n"/>
      <c r="G3" s="18" t="n"/>
      <c r="H3" s="18" t="n"/>
      <c r="I3" s="18" t="n"/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/>
      <c r="D6" s="18" t="n"/>
      <c r="E6" s="18" t="n"/>
      <c r="F6" s="18" t="n"/>
      <c r="G6" s="18" t="n"/>
      <c r="H6" s="18" t="n"/>
      <c r="I6" s="18" t="n"/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/>
      <c r="C7" s="18" t="n"/>
      <c r="D7" s="18" t="n"/>
      <c r="E7" s="18" t="n"/>
      <c r="F7" s="18" t="n"/>
      <c r="G7" s="18" t="n"/>
      <c r="H7" s="18" t="n"/>
      <c r="I7" s="18" t="n"/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</row>
    <row r="8">
      <c r="A8" s="32" t="n">
        <v>46254</v>
      </c>
      <c r="B8" s="30" t="n"/>
      <c r="C8" s="18" t="n"/>
      <c r="D8" s="18" t="n"/>
      <c r="E8" s="18" t="n"/>
      <c r="F8" s="18" t="n"/>
      <c r="G8" s="18" t="n"/>
      <c r="H8" s="18" t="n"/>
      <c r="I8" s="18" t="n"/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/>
      <c r="D9" s="18" t="n"/>
      <c r="E9" s="18" t="n"/>
      <c r="F9" s="18" t="n"/>
      <c r="G9" s="18" t="n"/>
      <c r="H9" s="18" t="n"/>
      <c r="I9" s="18" t="n"/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/>
      <c r="D10" s="18" t="n"/>
      <c r="E10" s="18" t="n"/>
      <c r="F10" s="18" t="n"/>
      <c r="G10" s="18" t="n"/>
      <c r="H10" s="18" t="n"/>
      <c r="I10" s="18" t="n"/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/>
      <c r="D11" s="18" t="n"/>
      <c r="E11" s="18" t="n"/>
      <c r="F11" s="18" t="n"/>
      <c r="G11" s="18" t="n"/>
      <c r="H11" s="18" t="n"/>
      <c r="I11" s="18" t="n"/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/>
      <c r="C12" s="18" t="n"/>
      <c r="D12" s="18" t="n"/>
      <c r="E12" s="18" t="n"/>
      <c r="F12" s="18" t="n"/>
      <c r="G12" s="18" t="n"/>
      <c r="H12" s="18" t="n"/>
      <c r="I12" s="18" t="n"/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</row>
    <row r="13">
      <c r="A13" s="32" t="n">
        <v>46259</v>
      </c>
      <c r="B13" s="30" t="n"/>
      <c r="C13" s="18" t="n"/>
      <c r="D13" s="18" t="n"/>
      <c r="E13" s="18" t="n"/>
      <c r="F13" s="18" t="n"/>
      <c r="G13" s="18" t="n"/>
      <c r="H13" s="18" t="n"/>
      <c r="I13" s="18" t="n"/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/>
      <c r="C14" s="18" t="n"/>
      <c r="D14" s="18" t="n"/>
      <c r="E14" s="18" t="n"/>
      <c r="F14" s="18" t="n"/>
      <c r="G14" s="18" t="n"/>
      <c r="H14" s="18" t="n"/>
      <c r="I14" s="18" t="n"/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/>
      <c r="D15" s="18" t="n"/>
      <c r="E15" s="18" t="n"/>
      <c r="F15" s="18" t="n"/>
      <c r="G15" s="18" t="n"/>
      <c r="H15" s="18" t="n"/>
      <c r="I15" s="18" t="n"/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/>
      <c r="D16" s="18" t="n"/>
      <c r="E16" s="18" t="n"/>
      <c r="F16" s="18" t="n"/>
      <c r="G16" s="18" t="n"/>
      <c r="H16" s="18" t="n"/>
      <c r="I16" s="18" t="n"/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  <c r="M4" s="15" t="inlineStr">
        <is>
          <t>Steps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  <c r="M5" s="18" t="n"/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  <c r="M6" s="18" t="n"/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  <c r="M7" s="18" t="n"/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  <c r="M8" s="18" t="n"/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/>
      <c r="I9" s="18" t="n"/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  <c r="M9" s="18" t="n"/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  <c r="M10" s="18" t="n"/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/>
      <c r="I11" s="18" t="n"/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  <c r="M11" s="18" t="n"/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  <c r="M12" s="18" t="n"/>
    </row>
    <row r="13">
      <c r="A13" s="32" t="n">
        <v>46257</v>
      </c>
      <c r="B13" s="18" t="n"/>
      <c r="C13" s="18" t="n"/>
      <c r="D13" s="18" t="n"/>
      <c r="E13" s="18" t="n"/>
      <c r="F13" s="18" t="n"/>
      <c r="G13" s="18" t="n"/>
      <c r="H13" s="18" t="n"/>
      <c r="I13" s="18" t="n"/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  <c r="M13" s="18" t="n"/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/>
      <c r="I14" s="18" t="n"/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  <c r="M14" s="18" t="n"/>
    </row>
    <row r="15">
      <c r="A15" s="32" t="n">
        <v>46259</v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  <c r="M15" s="18" t="n"/>
    </row>
    <row r="16">
      <c r="A16" s="32" t="n">
        <v>46260</v>
      </c>
      <c r="B16" s="18" t="n"/>
      <c r="C16" s="18" t="n"/>
      <c r="D16" s="18" t="n"/>
      <c r="E16" s="18" t="n"/>
      <c r="F16" s="18" t="n"/>
      <c r="G16" s="18" t="n"/>
      <c r="H16" s="18" t="n"/>
      <c r="I16" s="18" t="n"/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  <c r="M16" s="18" t="n"/>
    </row>
    <row r="17">
      <c r="A17" s="32" t="n">
        <v>46261</v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  <c r="M17" s="18" t="n"/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  <c r="M18" s="18" t="n"/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  <c r="M19" s="18" t="n"/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  <c r="M20" s="18" t="n"/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  <c r="M21" s="18" t="n"/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  <c r="M22" s="18" t="n"/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  <c r="M23" s="18" t="n"/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  <c r="M24" s="18" t="n"/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  <c r="M25" s="18" t="n"/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  <c r="M26" s="18" t="n"/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  <c r="M27" s="18" t="n"/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  <c r="M28" s="18" t="n"/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  <c r="M29" s="18" t="n"/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  <c r="M30" s="18" t="n"/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  <c r="M31" s="18" t="n"/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  <c r="M32" s="18" t="n"/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  <c r="M33" s="18" t="n"/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  <c r="M34" s="18" t="n"/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>
        <f>IFERROR(_xlfn.MAXIFS($A$5:$A$34,$M$5:$M$34,"&lt;&gt;"),"")</f>
        <v/>
      </c>
      <c r="C43" s="38">
        <f>IF(B43="","",TODAY()-B43)</f>
        <v/>
      </c>
      <c r="D43" s="3">
        <f>IF(B43="","no data yet",IF(C43&gt;=10,"REVIEW — ask Roberto","Active"))</f>
        <v/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18" t="n"/>
      <c r="D46" s="18" t="n"/>
      <c r="E46" s="18" t="n"/>
      <c r="F46" s="18" t="n"/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n"/>
      <c r="D47" s="18" t="n"/>
      <c r="E47" s="18" t="n"/>
      <c r="F47" s="18" t="n"/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</row>
    <row r="17">
      <c r="A17" s="29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3">
        <f>IF($D$39&lt;10,"Collecting data",IF(C42&gt;=10,"REVIEW — notify Roberto","Active"))</f>
        <v/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3">
        <f>IF($D$39&lt;10,"Collecting data",IF(C44&gt;=10,"REVIEW — notify Roberto","Active"))</f>
        <v/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3">
        <f>IF($D$39&lt;10,"Collecting data",IF(C48&gt;=10,"REVIEW — notify Roberto","Active"))</f>
        <v/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3">
        <f>IF($D$39&lt;10,"Collecting data",IF(C51&gt;=10,"REVIEW — notify Roberto","Active"))</f>
        <v/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3">
        <f>IF($D$39&lt;10,"Collecting data",IF(C52&gt;=10,"REVIEW — notify Roberto","Active"))</f>
        <v/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3">
        <f>IF($D$39&lt;10,"Collecting data",IF(C53&gt;=10,"REVIEW — notify Roberto","Active"))</f>
        <v/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3">
        <f>IF($D$39&lt;10,"Collecting data",IF(C54&gt;=10,"REVIEW — notify Roberto","Active"))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n"/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2026-08-18T09:20:57Z</dcterms:modified>
</cp:coreProperties>
</file>