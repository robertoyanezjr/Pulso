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44" t="n">
        <v>1850</v>
      </c>
      <c r="C12" s="2" t="inlineStr">
        <is>
          <t>Revised 2026-08-22 (manual) — working range 1,800-1,900. Was 1,825 (formula-derived).</t>
        </is>
      </c>
    </row>
    <row r="13">
      <c r="A13" s="4" t="inlineStr">
        <is>
          <t>Protein target (g/day)</t>
        </is>
      </c>
      <c r="B13" s="44" t="n">
        <v>155</v>
      </c>
      <c r="C13" s="2" t="inlineStr">
        <is>
          <t>Revised 2026-08-22 (manual) — working range 150-160g. Was 187g (~1g/lb goal weight heuristic).</t>
        </is>
      </c>
    </row>
    <row r="14">
      <c r="A14" s="4" t="inlineStr">
        <is>
          <t>Fat target (g/day)</t>
        </is>
      </c>
      <c r="B14" s="44" t="n">
        <v>65</v>
      </c>
      <c r="C14" s="2" t="inlineStr">
        <is>
          <t>Revised 2026-08-22 (manual) — working range 55-65g. Was 57g (~28% of calories).</t>
        </is>
      </c>
    </row>
    <row r="15">
      <c r="A15" s="4" t="inlineStr">
        <is>
          <t>Carb target (g/day)</t>
        </is>
      </c>
      <c r="B15" s="44" t="n">
        <v>160</v>
      </c>
      <c r="C15" s="2" t="inlineStr">
        <is>
          <t>Revised 2026-08-22 (manual) — working range 145-175g. Was 141g (remainder-of-calories calc).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Working range 30-40g. Unchanged in the 2026-08-22 revision.</t>
        </is>
      </c>
    </row>
    <row r="17">
      <c r="A17" s="4" t="inlineStr">
        <is>
          <t>Added sugar ceiling (g/day)</t>
        </is>
      </c>
      <c r="B17" s="11" t="n">
        <v>25</v>
      </c>
      <c r="C17" s="2" t="inlineStr">
        <is>
          <t>Revised 2026-08-22: ceiling 20-25g, lower preferred. Was a flat &lt;25g ceiling.</t>
        </is>
      </c>
    </row>
    <row r="18">
      <c r="A18" t="inlineStr">
        <is>
          <t>Saturated fat ceiling (g/day)</t>
        </is>
      </c>
      <c r="B18" s="45" t="n">
        <v>12</v>
      </c>
      <c r="C18" t="inlineStr">
        <is>
          <t>New 2026-08-22 — lower is better within a balanced diet.</t>
        </is>
      </c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1266</v>
      </c>
      <c r="D9" s="18" t="n">
        <v>133</v>
      </c>
      <c r="E9" s="18" t="n">
        <v>109</v>
      </c>
      <c r="F9" s="18" t="n">
        <v>34</v>
      </c>
      <c r="G9" s="18" t="n">
        <v>26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fiber. Snack: 170g plain Greek yogurt (0-2%), 50g blackberries, 50g blueberries, 10g chia seeds, 5g honey, 1/2 scoop protein powder - approx 298kcal/32g protein/28g carb/8g fat/7g fiber. Day total: 1,266kcal/133g protein/109g carb/34g fat/26g fiber - excellent pace, fourth strong day running.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>
        <v>1162</v>
      </c>
      <c r="D10" s="18" t="n">
        <v>135</v>
      </c>
      <c r="E10" s="18" t="n">
        <v>83</v>
      </c>
      <c r="F10" s="18" t="n">
        <v>34</v>
      </c>
      <c r="G10" s="18" t="n">
        <v>24</v>
      </c>
      <c r="H10" s="18" t="n">
        <v>0</v>
      </c>
      <c r="I10" s="18" t="inlineStr">
        <is>
          <t>Breakfast: 75g black beans, 120g egg whites, 2 whole eggs, 100g pico de gallo, 40g 0% Greek yogurt, cilantro - approx 351kcal/38g protein/25g carb/11g fat/8g fiber. Lunch: turkey burger lettuce wrap - approx 374kcal/58g protein/11g carb/10g fat/3g fiber. Snack 1: 200g Greek yogurt, 75g blueberries, 75g blackberries, 50g banana, 12g chia seeds, 1/2 scoop protein powder - approx 356kcal/36g protein/43g carb/6g fat/11g fiber. Snack 2: 25 pistachios (~14g) - approx 81kcal/3g protein/4g carb/7g fat/2g fiber. Day total: 1,162kcal/135g protein/83g carb/34g fat/24g fiber.</t>
        </is>
      </c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>
        <v>1510</v>
      </c>
      <c r="D11" s="18" t="n">
        <v>164</v>
      </c>
      <c r="E11" s="18" t="n">
        <v>113</v>
      </c>
      <c r="F11" s="18" t="n">
        <v>49</v>
      </c>
      <c r="G11" s="18" t="n">
        <v>37</v>
      </c>
      <c r="H11" s="18" t="n">
        <v>0</v>
      </c>
      <c r="I11" s="18" t="inlineStr">
        <is>
          <t>Breakfast: 150g egg whites, 1 whole egg, 60g black beans (drained/rinsed), 30g spinach, 75g pico de gallo, 20-30g onion diced, 10-15g jalapeno, cilantro, cooking spray - approx 245kcal/28g protein/19g carb/6g fat/6g fiber. Snack 1: 15g walnuts (~7 halves), 15g pistachios (~24-25 kernels) - approx 182kcal/5g protein/6g carb/17g fat/3g fiber. Lunch: turkey-lentil marinara skillet - 150g cooked lean turkey, 100g cooked lentils, 100-120g marinara, 75g fresh tomatoes, 75-100g mushrooms, 50g spinach, 20g onion, garlic, tomato paste, 15g mozzarella, 8-10g Parmesan - approx 531kcal/67g protein/41g carb/12g fat/13g fiber. Dinner: 170-180g cod (lemon, garlic, pepper, paprika, oregano), 100g sauteed spinach, 100g mushrooms, ~100g tomato+onion, 75g cooked lentils, 1 tsp olive oil, lemon juice/herbs/red pepper flakes - approx 392kcal/54g protein/29g carb/8g fat/11g fiber. Snack 2: protein carrot cake bar - 160kcal/10g protein/18g carb/6g fat/4g fiber. Day total: 1,510kcal/164g protein/113g carb/49g fat/37g fiber - protein and fiber both cleared their floors (164 of 155g, 37 of 35g). First complete day of new tracking week (Sun 8/23-Sat 8/29); prior week (8/16-8/22) closed at 9,054kcal/828g protein total.</t>
        </is>
      </c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>
        <v>197</v>
      </c>
      <c r="C12" s="18" t="n">
        <v>1396</v>
      </c>
      <c r="D12" s="18" t="n">
        <v>160</v>
      </c>
      <c r="E12" s="18" t="n">
        <v>104</v>
      </c>
      <c r="F12" s="18" t="n">
        <v>34</v>
      </c>
      <c r="G12" s="18" t="n">
        <v>29</v>
      </c>
      <c r="H12" s="18" t="n"/>
      <c r="I12" s="18" t="inlineStr">
        <is>
          <t>Weighed in 197.0 lb, waist 39in (down 1in from 40in on Aug 19). Breakfast: Kodiak protein pancakes - 40g Kodiak protein pancake mix, 60-70g egg whites mixed into batter, water, cinnamon, vanilla extract, 50g blueberries/blackberries, 1 tsp pure maple syrup - approx 219kcal/22g protein/32g carb/2g fat/5g fiber. Plus 1 whole egg, 100g egg whites on the side - approx 124kcal/17g protein/1g carb/5g fat. Meal total approx 343kcal/39g protein/33g carb/7g fat/5g fiber. Down 4.0 lb from the Aug 15 start (201.0), running ahead of the ~1lb/week pace. Day 2 of tracking week (Sun 8/23-Sat 8/29). Lunch: 100g cod, 100g lentils, 100g Brussels sprouts - approx 315kcal/34g protein/28g carb/3g fat/9g fiber (Roberto's own estimate, 300-330kcal/32-35g protein/25-30g carb/8-10g fiber/very little fat). Day total so far: 658kcal/73g protein/61g carb/10g fat/14g fiber. Snack: 100g Siggis plain yogurt, 12g protein powder, 6g chia seeds, 80g mixed blueberries/blackberries - approx 176kcal/21g protein/17g carb/3g fat/5g fiber. Day total so far: 834kcal/94g protein/78g carb/13g fat/19g fiber. Dinner: 160g chicken, 70g black beans (drained/rinsed), 50g avocado, 80g cottage cheese, 60g arugula, 60g cherry tomatoes, 60g pico de gallo, 1 tsp olive oil - approx 562kcal/66g protein/26g carb/21g fat/10g fiber. Day total: 1,396kcal/160g protein/104g carb/34g fat/29g fiber - protein cleared the 155g floor, fiber 6g shy of 35g. Strong second day of the new tracking week.</t>
        </is>
      </c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  <c r="N12" t="n">
        <v>39</v>
      </c>
    </row>
    <row r="13">
      <c r="A13" s="32" t="n">
        <v>46259</v>
      </c>
      <c r="B13" s="30" t="n"/>
      <c r="C13" s="18" t="n">
        <v>268</v>
      </c>
      <c r="D13" s="18" t="n">
        <v>35</v>
      </c>
      <c r="E13" s="18" t="n">
        <v>13</v>
      </c>
      <c r="F13" s="18" t="n">
        <v>7</v>
      </c>
      <c r="G13" s="18" t="n">
        <v>2</v>
      </c>
      <c r="H13" s="18" t="n"/>
      <c r="I13" s="18" t="inlineStr">
        <is>
          <t>Breakfast: 1 whole egg, 150g egg whites, 75g cottage cheese, 100g mushrooms, 30-40g onion, 15g spinach, 50-60g pico de gallo - approx 268kcal/35g protein/13g carb/7g fat/2g fiber. Day 3 of tracking week (Sun 8/23-Sat 8/29). Ring synced this morning: sleep 8h36m (first real capture since Aug 15), HR 83, HRV 108ms (rebounded from 40ms Sunday), BP 127/89 (down from 131/92 Sunday), SpO2 98%.</t>
        </is>
      </c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/>
      <c r="C14" s="18" t="n"/>
      <c r="D14" s="18" t="n"/>
      <c r="E14" s="18" t="n"/>
      <c r="F14" s="18" t="n"/>
      <c r="G14" s="18" t="n"/>
      <c r="H14" s="18" t="n"/>
      <c r="I14" s="18" t="n"/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>
        <v>98</v>
      </c>
      <c r="D13" s="18" t="n">
        <v>40</v>
      </c>
      <c r="E13" s="18" t="n">
        <v>97</v>
      </c>
      <c r="F13" s="18" t="n">
        <v>131</v>
      </c>
      <c r="G13" s="18" t="n">
        <v>92</v>
      </c>
      <c r="H13" s="18" t="n">
        <v>4717</v>
      </c>
      <c r="I13" s="18" t="n">
        <v>16.65</v>
      </c>
      <c r="J13" t="inlineStr">
        <is>
          <t>Tonal end-of-workout summary (logged via text, photo upload issue). Volume 4,717 lbs, Duration 16:39, Movement Target 100%, Calories Burned 112, Work 9.3 kJ, Time Under Tension 6:00, 6 movements. Heaviest volume of the week so far vs Wed 4,792 / Fri 4,078. | Ring sync 8:47am: HR 98bpm (up from 84), HRV 40ms (down sharply from 128), SpO2 97%, BP 131/92 (up from 129/89 watch, diastolic now Stage 2), sleep not captured (0h00, sync error icon), ring proprietary "pressure" score 47 (first time logged, no baseline yet). Two BP watches in a row on the same side plus HRV drop worth mentioning to Dr. Aldrich, not a diagnosis.</t>
        </is>
      </c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>
        <v>4629</v>
      </c>
      <c r="I14" s="18" t="n">
        <v>17.25</v>
      </c>
      <c r="J14" t="inlineStr">
        <is>
          <t>Tonal end-of-workout summary. Volume 4,629 lbs, Duration 17:15, Movement Target 100%, Calories Burned 70, Work 7.9 kJ, Time Under Tension 5:49, Coaching Cues 1. Slightly lighter volume than yesterday (4,717 lbs) but still 100% movement target.</t>
        </is>
      </c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>
        <v>8.6</v>
      </c>
      <c r="C15" s="18" t="n">
        <v>83</v>
      </c>
      <c r="D15" s="18" t="n">
        <v>108</v>
      </c>
      <c r="E15" s="18" t="n">
        <v>98</v>
      </c>
      <c r="F15" s="18" t="n">
        <v>127</v>
      </c>
      <c r="G15" s="18" t="n">
        <v>89</v>
      </c>
      <c r="H15" s="18" t="n"/>
      <c r="I15" s="18" t="n"/>
      <c r="J15" t="inlineStr">
        <is>
          <t>Ring sync 9:48am. Sleep 8h36m (first real capture since Aug 15 — prior syncs missed it). HR 83bpm, HRV 108ms (up sharply from 40ms yesterday, back near the 128ms Aug 15 baseline - confirms yesterday's drop was likely noise, not a real trend). BP 127/89 (down from 131/92 yesterday, close to the 129/89 Aug 15 reading). SpO2 98%. Ring pressure score 53 (up from 47 yesterday).</t>
        </is>
      </c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 t="n"/>
      <c r="C43" s="38" t="n"/>
      <c r="D43" s="3" t="inlineStr">
        <is>
          <t>Retired 2026-08-21 (never logged in ~a week on the dashboard — dropped per Roberto's review, no data lost)</t>
        </is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>
        <v>46252</v>
      </c>
      <c r="B8" s="18" t="n"/>
      <c r="C8" s="18" t="n">
        <v>1</v>
      </c>
      <c r="D8" s="18" t="n"/>
      <c r="E8" s="18" t="n">
        <v>0</v>
      </c>
      <c r="F8" s="18" t="n">
        <v>0</v>
      </c>
      <c r="G8" s="18" t="n">
        <v>0</v>
      </c>
      <c r="H8" s="18" t="n"/>
      <c r="I8" s="18" t="n">
        <v>1</v>
      </c>
      <c r="J8" s="18" t="n">
        <v>0</v>
      </c>
      <c r="K8" s="18" t="n"/>
      <c r="L8" s="18" t="n"/>
      <c r="M8" s="18" t="n"/>
      <c r="N8" s="18" t="n"/>
    </row>
    <row r="9">
      <c r="A9" s="29" t="n">
        <v>46253</v>
      </c>
      <c r="B9" s="18" t="n"/>
      <c r="C9" s="18" t="n">
        <v>1</v>
      </c>
      <c r="D9" s="18" t="n"/>
      <c r="E9" s="18" t="n">
        <v>0</v>
      </c>
      <c r="F9" s="18" t="n">
        <v>0</v>
      </c>
      <c r="G9" s="18" t="n">
        <v>0</v>
      </c>
      <c r="H9" s="18" t="n"/>
      <c r="I9" s="18" t="n">
        <v>1</v>
      </c>
      <c r="J9" s="18" t="n">
        <v>0</v>
      </c>
      <c r="K9" s="18" t="n"/>
      <c r="L9" s="18" t="n"/>
      <c r="M9" s="18" t="n"/>
      <c r="N9" s="18" t="n"/>
    </row>
    <row r="10">
      <c r="A10" s="29" t="n">
        <v>46254</v>
      </c>
      <c r="B10" s="18" t="n"/>
      <c r="C10" s="18" t="n">
        <v>0</v>
      </c>
      <c r="D10" s="18" t="n"/>
      <c r="E10" s="18" t="n">
        <v>0</v>
      </c>
      <c r="F10" s="18" t="n">
        <v>0</v>
      </c>
      <c r="G10" s="18" t="n">
        <v>0</v>
      </c>
      <c r="H10" s="18" t="n"/>
      <c r="I10" s="18" t="n">
        <v>0</v>
      </c>
      <c r="J10" s="18" t="n">
        <v>0</v>
      </c>
      <c r="K10" s="18" t="n"/>
      <c r="L10" s="18" t="n"/>
      <c r="M10" s="18" t="n"/>
      <c r="N10" s="18" t="n"/>
    </row>
    <row r="11">
      <c r="A11" s="29" t="n">
        <v>46255</v>
      </c>
      <c r="B11" s="18" t="n"/>
      <c r="C11" s="18" t="n">
        <v>0</v>
      </c>
      <c r="D11" s="18" t="n"/>
      <c r="E11" s="18" t="n">
        <v>0</v>
      </c>
      <c r="F11" s="18" t="n">
        <v>0</v>
      </c>
      <c r="G11" s="18" t="n">
        <v>0</v>
      </c>
      <c r="H11" s="18" t="n"/>
      <c r="I11" s="18" t="n">
        <v>1</v>
      </c>
      <c r="J11" s="18" t="n">
        <v>0</v>
      </c>
      <c r="K11" s="18" t="n"/>
      <c r="L11" s="18" t="n"/>
      <c r="M11" s="18" t="n"/>
      <c r="N11" s="18" t="n"/>
    </row>
    <row r="12">
      <c r="A12" s="29" t="n">
        <v>46256</v>
      </c>
      <c r="B12" s="18" t="n"/>
      <c r="C12" s="18" t="n">
        <v>0</v>
      </c>
      <c r="D12" s="18" t="n"/>
      <c r="E12" s="18" t="n">
        <v>0</v>
      </c>
      <c r="F12" s="18" t="n">
        <v>1</v>
      </c>
      <c r="G12" s="18" t="n">
        <v>0</v>
      </c>
      <c r="H12" s="18" t="n"/>
      <c r="I12" s="18" t="n">
        <v>0</v>
      </c>
      <c r="J12" s="18" t="n">
        <v>1</v>
      </c>
      <c r="K12" s="18" t="n"/>
      <c r="L12" s="18" t="n"/>
      <c r="M12" s="18" t="n"/>
      <c r="N12" s="18" t="n"/>
    </row>
    <row r="13">
      <c r="A13" s="29" t="n">
        <v>46257</v>
      </c>
      <c r="B13" s="18" t="n"/>
      <c r="C13" s="18" t="n">
        <v>0</v>
      </c>
      <c r="D13" s="18" t="n"/>
      <c r="E13" s="18" t="n">
        <v>0</v>
      </c>
      <c r="F13" s="18" t="n">
        <v>1</v>
      </c>
      <c r="G13" s="18" t="n">
        <v>0</v>
      </c>
      <c r="H13" s="18" t="n"/>
      <c r="I13" s="18" t="n">
        <v>0</v>
      </c>
      <c r="J13" s="18" t="n">
        <v>1</v>
      </c>
      <c r="K13" s="18" t="n"/>
      <c r="L13" s="18" t="n"/>
      <c r="M13" s="18" t="n"/>
      <c r="N13" s="18" t="n"/>
    </row>
    <row r="14">
      <c r="A14" s="29" t="n">
        <v>46258</v>
      </c>
      <c r="B14" s="18" t="n"/>
      <c r="C14" s="18" t="n">
        <v>0</v>
      </c>
      <c r="D14" s="18" t="n"/>
      <c r="E14" s="18" t="n">
        <v>0</v>
      </c>
      <c r="F14" s="18" t="n">
        <v>0</v>
      </c>
      <c r="G14" s="18" t="n">
        <v>0</v>
      </c>
      <c r="H14" s="18" t="n"/>
      <c r="I14" s="18" t="n">
        <v>0</v>
      </c>
      <c r="J14" s="18" t="n">
        <v>0</v>
      </c>
      <c r="K14" s="18" t="n"/>
      <c r="L14" s="18" t="n"/>
      <c r="M14" s="18" t="n"/>
      <c r="N14" s="18" t="n"/>
    </row>
    <row r="15">
      <c r="A15" s="29" t="n">
        <v>46259</v>
      </c>
      <c r="B15" s="18" t="n"/>
      <c r="C15" s="18" t="n">
        <v>0</v>
      </c>
      <c r="D15" s="18" t="n"/>
      <c r="E15" s="18" t="n">
        <v>0</v>
      </c>
      <c r="F15" s="18" t="n">
        <v>0</v>
      </c>
      <c r="G15" s="18" t="n">
        <v>0</v>
      </c>
      <c r="H15" s="18" t="n"/>
      <c r="I15" s="18" t="n">
        <v>0</v>
      </c>
      <c r="J15" s="18" t="n">
        <v>0</v>
      </c>
      <c r="K15" s="18" t="n"/>
      <c r="L15" s="18" t="n"/>
      <c r="M15" s="18" t="n"/>
      <c r="N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2026-08-25T12:18:28Z</dcterms:modified>
</cp:coreProperties>
</file>